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ucas/Downloads/"/>
    </mc:Choice>
  </mc:AlternateContent>
  <xr:revisionPtr revIDLastSave="0" documentId="13_ncr:1_{1B930B73-701E-AA4C-9A10-03729556BC3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Pre-Season Loa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4" l="1"/>
  <c r="Z82" i="4" s="1"/>
  <c r="D82" i="4"/>
  <c r="Y82" i="4" s="1"/>
  <c r="C82" i="4"/>
  <c r="X82" i="4" s="1"/>
  <c r="B82" i="4"/>
  <c r="W82" i="4" s="1"/>
  <c r="T81" i="4"/>
  <c r="S81" i="4"/>
  <c r="R81" i="4"/>
  <c r="J81" i="4"/>
  <c r="I81" i="4"/>
  <c r="H81" i="4"/>
  <c r="E81" i="4"/>
  <c r="U81" i="4" s="1"/>
  <c r="D81" i="4"/>
  <c r="Y81" i="4" s="1"/>
  <c r="C81" i="4"/>
  <c r="X81" i="4" s="1"/>
  <c r="B81" i="4"/>
  <c r="W81" i="4" s="1"/>
  <c r="Y80" i="4"/>
  <c r="X80" i="4"/>
  <c r="U80" i="4"/>
  <c r="T80" i="4"/>
  <c r="S80" i="4"/>
  <c r="N80" i="4"/>
  <c r="K80" i="4"/>
  <c r="E80" i="4"/>
  <c r="Z80" i="4" s="1"/>
  <c r="D80" i="4"/>
  <c r="J80" i="4" s="1"/>
  <c r="C80" i="4"/>
  <c r="I80" i="4" s="1"/>
  <c r="B80" i="4"/>
  <c r="M80" i="4" s="1"/>
  <c r="Y79" i="4"/>
  <c r="S79" i="4"/>
  <c r="R79" i="4"/>
  <c r="O79" i="4"/>
  <c r="N79" i="4"/>
  <c r="J79" i="4"/>
  <c r="H79" i="4"/>
  <c r="E79" i="4"/>
  <c r="P79" i="4" s="1"/>
  <c r="D79" i="4"/>
  <c r="T79" i="4" s="1"/>
  <c r="C79" i="4"/>
  <c r="X79" i="4" s="1"/>
  <c r="B79" i="4"/>
  <c r="W79" i="4" s="1"/>
  <c r="X78" i="4"/>
  <c r="U78" i="4"/>
  <c r="S78" i="4"/>
  <c r="N78" i="4"/>
  <c r="K78" i="4"/>
  <c r="E78" i="4"/>
  <c r="Z78" i="4" s="1"/>
  <c r="D78" i="4"/>
  <c r="J78" i="4" s="1"/>
  <c r="C78" i="4"/>
  <c r="I78" i="4" s="1"/>
  <c r="B78" i="4"/>
  <c r="M78" i="4" s="1"/>
  <c r="Y77" i="4"/>
  <c r="S77" i="4"/>
  <c r="R77" i="4"/>
  <c r="N77" i="4"/>
  <c r="J77" i="4"/>
  <c r="H77" i="4"/>
  <c r="E77" i="4"/>
  <c r="P77" i="4" s="1"/>
  <c r="D77" i="4"/>
  <c r="T77" i="4" s="1"/>
  <c r="C77" i="4"/>
  <c r="X77" i="4" s="1"/>
  <c r="B77" i="4"/>
  <c r="W77" i="4" s="1"/>
  <c r="X76" i="4"/>
  <c r="U76" i="4"/>
  <c r="S76" i="4"/>
  <c r="N76" i="4"/>
  <c r="K76" i="4"/>
  <c r="E76" i="4"/>
  <c r="Z76" i="4" s="1"/>
  <c r="D76" i="4"/>
  <c r="J76" i="4" s="1"/>
  <c r="C76" i="4"/>
  <c r="I76" i="4" s="1"/>
  <c r="B76" i="4"/>
  <c r="M76" i="4" s="1"/>
  <c r="Y75" i="4"/>
  <c r="S75" i="4"/>
  <c r="R75" i="4"/>
  <c r="N75" i="4"/>
  <c r="J75" i="4"/>
  <c r="H75" i="4"/>
  <c r="E75" i="4"/>
  <c r="P75" i="4" s="1"/>
  <c r="D75" i="4"/>
  <c r="T75" i="4" s="1"/>
  <c r="C75" i="4"/>
  <c r="X75" i="4" s="1"/>
  <c r="B75" i="4"/>
  <c r="W75" i="4" s="1"/>
  <c r="X74" i="4"/>
  <c r="U74" i="4"/>
  <c r="S74" i="4"/>
  <c r="N74" i="4"/>
  <c r="K74" i="4"/>
  <c r="E74" i="4"/>
  <c r="Z74" i="4" s="1"/>
  <c r="D74" i="4"/>
  <c r="J74" i="4" s="1"/>
  <c r="C74" i="4"/>
  <c r="I74" i="4" s="1"/>
  <c r="B74" i="4"/>
  <c r="M74" i="4" s="1"/>
  <c r="Y70" i="4"/>
  <c r="S70" i="4"/>
  <c r="R70" i="4"/>
  <c r="N70" i="4"/>
  <c r="J70" i="4"/>
  <c r="H70" i="4"/>
  <c r="E70" i="4"/>
  <c r="P70" i="4" s="1"/>
  <c r="D70" i="4"/>
  <c r="T70" i="4" s="1"/>
  <c r="C70" i="4"/>
  <c r="X70" i="4" s="1"/>
  <c r="B70" i="4"/>
  <c r="W70" i="4" s="1"/>
  <c r="X69" i="4"/>
  <c r="U69" i="4"/>
  <c r="S69" i="4"/>
  <c r="N69" i="4"/>
  <c r="K69" i="4"/>
  <c r="E69" i="4"/>
  <c r="Z69" i="4" s="1"/>
  <c r="D69" i="4"/>
  <c r="J69" i="4" s="1"/>
  <c r="C69" i="4"/>
  <c r="I69" i="4" s="1"/>
  <c r="B69" i="4"/>
  <c r="M69" i="4" s="1"/>
  <c r="Y68" i="4"/>
  <c r="S68" i="4"/>
  <c r="R68" i="4"/>
  <c r="N68" i="4"/>
  <c r="J68" i="4"/>
  <c r="H68" i="4"/>
  <c r="E68" i="4"/>
  <c r="P68" i="4" s="1"/>
  <c r="D68" i="4"/>
  <c r="T68" i="4" s="1"/>
  <c r="C68" i="4"/>
  <c r="X68" i="4" s="1"/>
  <c r="B68" i="4"/>
  <c r="W68" i="4" s="1"/>
  <c r="X67" i="4"/>
  <c r="U67" i="4"/>
  <c r="S67" i="4"/>
  <c r="N67" i="4"/>
  <c r="K67" i="4"/>
  <c r="E67" i="4"/>
  <c r="Z67" i="4" s="1"/>
  <c r="D67" i="4"/>
  <c r="J67" i="4" s="1"/>
  <c r="C67" i="4"/>
  <c r="I67" i="4" s="1"/>
  <c r="B67" i="4"/>
  <c r="M67" i="4" s="1"/>
  <c r="Y66" i="4"/>
  <c r="S66" i="4"/>
  <c r="R66" i="4"/>
  <c r="N66" i="4"/>
  <c r="J66" i="4"/>
  <c r="H66" i="4"/>
  <c r="E66" i="4"/>
  <c r="P66" i="4" s="1"/>
  <c r="D66" i="4"/>
  <c r="T66" i="4" s="1"/>
  <c r="C66" i="4"/>
  <c r="X66" i="4" s="1"/>
  <c r="B66" i="4"/>
  <c r="W66" i="4" s="1"/>
  <c r="X65" i="4"/>
  <c r="U65" i="4"/>
  <c r="S65" i="4"/>
  <c r="N65" i="4"/>
  <c r="K65" i="4"/>
  <c r="E65" i="4"/>
  <c r="Z65" i="4" s="1"/>
  <c r="D65" i="4"/>
  <c r="J65" i="4" s="1"/>
  <c r="C65" i="4"/>
  <c r="I65" i="4" s="1"/>
  <c r="B65" i="4"/>
  <c r="M65" i="4" s="1"/>
  <c r="Y64" i="4"/>
  <c r="S64" i="4"/>
  <c r="R64" i="4"/>
  <c r="N64" i="4"/>
  <c r="J64" i="4"/>
  <c r="H64" i="4"/>
  <c r="E64" i="4"/>
  <c r="P64" i="4" s="1"/>
  <c r="D64" i="4"/>
  <c r="T64" i="4" s="1"/>
  <c r="C64" i="4"/>
  <c r="X64" i="4" s="1"/>
  <c r="B64" i="4"/>
  <c r="W64" i="4" s="1"/>
  <c r="X63" i="4"/>
  <c r="U63" i="4"/>
  <c r="S63" i="4"/>
  <c r="N63" i="4"/>
  <c r="K63" i="4"/>
  <c r="E63" i="4"/>
  <c r="Z63" i="4" s="1"/>
  <c r="D63" i="4"/>
  <c r="J63" i="4" s="1"/>
  <c r="C63" i="4"/>
  <c r="I63" i="4" s="1"/>
  <c r="B63" i="4"/>
  <c r="M63" i="4" s="1"/>
  <c r="Y62" i="4"/>
  <c r="S62" i="4"/>
  <c r="R62" i="4"/>
  <c r="N62" i="4"/>
  <c r="J62" i="4"/>
  <c r="H62" i="4"/>
  <c r="E62" i="4"/>
  <c r="P62" i="4" s="1"/>
  <c r="D62" i="4"/>
  <c r="T62" i="4" s="1"/>
  <c r="C62" i="4"/>
  <c r="X62" i="4" s="1"/>
  <c r="B62" i="4"/>
  <c r="W62" i="4" s="1"/>
  <c r="X58" i="4"/>
  <c r="U58" i="4"/>
  <c r="S58" i="4"/>
  <c r="N58" i="4"/>
  <c r="K58" i="4"/>
  <c r="E58" i="4"/>
  <c r="Z58" i="4" s="1"/>
  <c r="D58" i="4"/>
  <c r="J58" i="4" s="1"/>
  <c r="C58" i="4"/>
  <c r="I58" i="4" s="1"/>
  <c r="B58" i="4"/>
  <c r="M58" i="4" s="1"/>
  <c r="Y57" i="4"/>
  <c r="S57" i="4"/>
  <c r="R57" i="4"/>
  <c r="N57" i="4"/>
  <c r="J57" i="4"/>
  <c r="H57" i="4"/>
  <c r="E57" i="4"/>
  <c r="P57" i="4" s="1"/>
  <c r="D57" i="4"/>
  <c r="T57" i="4" s="1"/>
  <c r="C57" i="4"/>
  <c r="X57" i="4" s="1"/>
  <c r="B57" i="4"/>
  <c r="W57" i="4" s="1"/>
  <c r="X56" i="4"/>
  <c r="U56" i="4"/>
  <c r="S56" i="4"/>
  <c r="N56" i="4"/>
  <c r="K56" i="4"/>
  <c r="E56" i="4"/>
  <c r="Z56" i="4" s="1"/>
  <c r="D56" i="4"/>
  <c r="J56" i="4" s="1"/>
  <c r="C56" i="4"/>
  <c r="I56" i="4" s="1"/>
  <c r="B56" i="4"/>
  <c r="M56" i="4" s="1"/>
  <c r="Y55" i="4"/>
  <c r="S55" i="4"/>
  <c r="R55" i="4"/>
  <c r="N55" i="4"/>
  <c r="J55" i="4"/>
  <c r="H55" i="4"/>
  <c r="E55" i="4"/>
  <c r="P55" i="4" s="1"/>
  <c r="D55" i="4"/>
  <c r="T55" i="4" s="1"/>
  <c r="C55" i="4"/>
  <c r="X55" i="4" s="1"/>
  <c r="B55" i="4"/>
  <c r="W55" i="4" s="1"/>
  <c r="X54" i="4"/>
  <c r="U54" i="4"/>
  <c r="S54" i="4"/>
  <c r="N54" i="4"/>
  <c r="K54" i="4"/>
  <c r="E54" i="4"/>
  <c r="Z54" i="4" s="1"/>
  <c r="D54" i="4"/>
  <c r="J54" i="4" s="1"/>
  <c r="C54" i="4"/>
  <c r="I54" i="4" s="1"/>
  <c r="B54" i="4"/>
  <c r="M54" i="4" s="1"/>
  <c r="Y53" i="4"/>
  <c r="S53" i="4"/>
  <c r="R53" i="4"/>
  <c r="N53" i="4"/>
  <c r="J53" i="4"/>
  <c r="H53" i="4"/>
  <c r="E53" i="4"/>
  <c r="P53" i="4" s="1"/>
  <c r="D53" i="4"/>
  <c r="T53" i="4" s="1"/>
  <c r="C53" i="4"/>
  <c r="X53" i="4" s="1"/>
  <c r="B53" i="4"/>
  <c r="W53" i="4" s="1"/>
  <c r="X52" i="4"/>
  <c r="U52" i="4"/>
  <c r="S52" i="4"/>
  <c r="N52" i="4"/>
  <c r="K52" i="4"/>
  <c r="E52" i="4"/>
  <c r="Z52" i="4" s="1"/>
  <c r="D52" i="4"/>
  <c r="J52" i="4" s="1"/>
  <c r="C52" i="4"/>
  <c r="I52" i="4" s="1"/>
  <c r="B52" i="4"/>
  <c r="M52" i="4" s="1"/>
  <c r="Y51" i="4"/>
  <c r="S51" i="4"/>
  <c r="R51" i="4"/>
  <c r="N51" i="4"/>
  <c r="J51" i="4"/>
  <c r="H51" i="4"/>
  <c r="E51" i="4"/>
  <c r="P51" i="4" s="1"/>
  <c r="D51" i="4"/>
  <c r="T51" i="4" s="1"/>
  <c r="C51" i="4"/>
  <c r="X51" i="4" s="1"/>
  <c r="B51" i="4"/>
  <c r="W51" i="4" s="1"/>
  <c r="X50" i="4"/>
  <c r="U50" i="4"/>
  <c r="S50" i="4"/>
  <c r="N50" i="4"/>
  <c r="K50" i="4"/>
  <c r="E50" i="4"/>
  <c r="Z50" i="4" s="1"/>
  <c r="D50" i="4"/>
  <c r="J50" i="4" s="1"/>
  <c r="C50" i="4"/>
  <c r="I50" i="4" s="1"/>
  <c r="B50" i="4"/>
  <c r="M50" i="4" s="1"/>
  <c r="AC46" i="4"/>
  <c r="Z46" i="4"/>
  <c r="T46" i="4"/>
  <c r="S46" i="4"/>
  <c r="R46" i="4"/>
  <c r="O46" i="4"/>
  <c r="K46" i="4"/>
  <c r="I46" i="4"/>
  <c r="H46" i="4"/>
  <c r="E46" i="4"/>
  <c r="U46" i="4" s="1"/>
  <c r="D46" i="4"/>
  <c r="Y46" i="4" s="1"/>
  <c r="C46" i="4"/>
  <c r="X46" i="4" s="1"/>
  <c r="B46" i="4"/>
  <c r="W46" i="4" s="1"/>
  <c r="Z45" i="4"/>
  <c r="O45" i="4"/>
  <c r="N45" i="4"/>
  <c r="J45" i="4"/>
  <c r="E45" i="4"/>
  <c r="K45" i="4" s="1"/>
  <c r="D45" i="4"/>
  <c r="Y45" i="4" s="1"/>
  <c r="C45" i="4"/>
  <c r="B45" i="4"/>
  <c r="Z44" i="4"/>
  <c r="T44" i="4"/>
  <c r="S44" i="4"/>
  <c r="R44" i="4"/>
  <c r="O44" i="4"/>
  <c r="K44" i="4"/>
  <c r="I44" i="4"/>
  <c r="H44" i="4"/>
  <c r="E44" i="4"/>
  <c r="U44" i="4" s="1"/>
  <c r="D44" i="4"/>
  <c r="Y44" i="4" s="1"/>
  <c r="C44" i="4"/>
  <c r="X44" i="4" s="1"/>
  <c r="B44" i="4"/>
  <c r="W44" i="4" s="1"/>
  <c r="Z43" i="4"/>
  <c r="O43" i="4"/>
  <c r="N43" i="4"/>
  <c r="J43" i="4"/>
  <c r="E43" i="4"/>
  <c r="K43" i="4" s="1"/>
  <c r="D43" i="4"/>
  <c r="Y43" i="4" s="1"/>
  <c r="C43" i="4"/>
  <c r="B43" i="4"/>
  <c r="Z42" i="4"/>
  <c r="T42" i="4"/>
  <c r="S42" i="4"/>
  <c r="R42" i="4"/>
  <c r="O42" i="4"/>
  <c r="K42" i="4"/>
  <c r="I42" i="4"/>
  <c r="H42" i="4"/>
  <c r="E42" i="4"/>
  <c r="U42" i="4" s="1"/>
  <c r="D42" i="4"/>
  <c r="Y42" i="4" s="1"/>
  <c r="C42" i="4"/>
  <c r="X42" i="4" s="1"/>
  <c r="B42" i="4"/>
  <c r="W42" i="4" s="1"/>
  <c r="Z41" i="4"/>
  <c r="O41" i="4"/>
  <c r="N41" i="4"/>
  <c r="J41" i="4"/>
  <c r="E41" i="4"/>
  <c r="K41" i="4" s="1"/>
  <c r="D41" i="4"/>
  <c r="Y41" i="4" s="1"/>
  <c r="C41" i="4"/>
  <c r="B41" i="4"/>
  <c r="AC40" i="4"/>
  <c r="U40" i="4"/>
  <c r="T40" i="4"/>
  <c r="S40" i="4"/>
  <c r="P40" i="4"/>
  <c r="J40" i="4"/>
  <c r="I40" i="4"/>
  <c r="E40" i="4"/>
  <c r="Z40" i="4" s="1"/>
  <c r="D40" i="4"/>
  <c r="Y40" i="4" s="1"/>
  <c r="C40" i="4"/>
  <c r="X40" i="4" s="1"/>
  <c r="B40" i="4"/>
  <c r="W40" i="4" s="1"/>
  <c r="P39" i="4"/>
  <c r="O39" i="4"/>
  <c r="K39" i="4"/>
  <c r="E39" i="4"/>
  <c r="Z39" i="4" s="1"/>
  <c r="D39" i="4"/>
  <c r="C39" i="4"/>
  <c r="B39" i="4"/>
  <c r="M39" i="4" s="1"/>
  <c r="U38" i="4"/>
  <c r="T38" i="4"/>
  <c r="S38" i="4"/>
  <c r="P38" i="4"/>
  <c r="J38" i="4"/>
  <c r="I38" i="4"/>
  <c r="E38" i="4"/>
  <c r="Z38" i="4" s="1"/>
  <c r="D38" i="4"/>
  <c r="Y38" i="4" s="1"/>
  <c r="C38" i="4"/>
  <c r="X38" i="4" s="1"/>
  <c r="B38" i="4"/>
  <c r="W38" i="4" s="1"/>
  <c r="AC34" i="4"/>
  <c r="X34" i="4"/>
  <c r="S34" i="4"/>
  <c r="R34" i="4"/>
  <c r="P34" i="4"/>
  <c r="N34" i="4"/>
  <c r="M34" i="4"/>
  <c r="I34" i="4"/>
  <c r="H34" i="4"/>
  <c r="E34" i="4"/>
  <c r="D34" i="4"/>
  <c r="O34" i="4" s="1"/>
  <c r="C34" i="4"/>
  <c r="B34" i="4"/>
  <c r="W34" i="4" s="1"/>
  <c r="Y33" i="4"/>
  <c r="W33" i="4"/>
  <c r="U33" i="4"/>
  <c r="T33" i="4"/>
  <c r="S33" i="4"/>
  <c r="K33" i="4"/>
  <c r="J33" i="4"/>
  <c r="I33" i="4"/>
  <c r="H33" i="4"/>
  <c r="E33" i="4"/>
  <c r="Z33" i="4" s="1"/>
  <c r="D33" i="4"/>
  <c r="O33" i="4" s="1"/>
  <c r="C33" i="4"/>
  <c r="N33" i="4" s="1"/>
  <c r="B33" i="4"/>
  <c r="R33" i="4" s="1"/>
  <c r="Y32" i="4"/>
  <c r="X32" i="4"/>
  <c r="S32" i="4"/>
  <c r="O32" i="4"/>
  <c r="N32" i="4"/>
  <c r="J32" i="4"/>
  <c r="E32" i="4"/>
  <c r="P32" i="4" s="1"/>
  <c r="D32" i="4"/>
  <c r="T32" i="4" s="1"/>
  <c r="C32" i="4"/>
  <c r="I32" i="4" s="1"/>
  <c r="B32" i="4"/>
  <c r="W32" i="4" s="1"/>
  <c r="X31" i="4"/>
  <c r="U31" i="4"/>
  <c r="K31" i="4"/>
  <c r="E31" i="4"/>
  <c r="Z31" i="4" s="1"/>
  <c r="D31" i="4"/>
  <c r="J31" i="4" s="1"/>
  <c r="C31" i="4"/>
  <c r="I31" i="4" s="1"/>
  <c r="B31" i="4"/>
  <c r="M31" i="4" s="1"/>
  <c r="X30" i="4"/>
  <c r="S30" i="4"/>
  <c r="R30" i="4"/>
  <c r="P30" i="4"/>
  <c r="N30" i="4"/>
  <c r="M30" i="4"/>
  <c r="I30" i="4"/>
  <c r="H30" i="4"/>
  <c r="E30" i="4"/>
  <c r="D30" i="4"/>
  <c r="O30" i="4" s="1"/>
  <c r="C30" i="4"/>
  <c r="B30" i="4"/>
  <c r="W30" i="4" s="1"/>
  <c r="Y29" i="4"/>
  <c r="W29" i="4"/>
  <c r="U29" i="4"/>
  <c r="T29" i="4"/>
  <c r="S29" i="4"/>
  <c r="K29" i="4"/>
  <c r="J29" i="4"/>
  <c r="I29" i="4"/>
  <c r="H29" i="4"/>
  <c r="E29" i="4"/>
  <c r="Z29" i="4" s="1"/>
  <c r="D29" i="4"/>
  <c r="O29" i="4" s="1"/>
  <c r="C29" i="4"/>
  <c r="N29" i="4" s="1"/>
  <c r="B29" i="4"/>
  <c r="R29" i="4" s="1"/>
  <c r="AC28" i="4"/>
  <c r="Z28" i="4"/>
  <c r="X28" i="4"/>
  <c r="E28" i="4"/>
  <c r="U28" i="4" s="1"/>
  <c r="D28" i="4"/>
  <c r="T28" i="4" s="1"/>
  <c r="C28" i="4"/>
  <c r="S28" i="4" s="1"/>
  <c r="B28" i="4"/>
  <c r="W28" i="4" s="1"/>
  <c r="U27" i="4"/>
  <c r="T27" i="4"/>
  <c r="S27" i="4"/>
  <c r="R27" i="4"/>
  <c r="K27" i="4"/>
  <c r="J27" i="4"/>
  <c r="I27" i="4"/>
  <c r="H27" i="4"/>
  <c r="E27" i="4"/>
  <c r="Z27" i="4" s="1"/>
  <c r="D27" i="4"/>
  <c r="Y27" i="4" s="1"/>
  <c r="C27" i="4"/>
  <c r="X27" i="4" s="1"/>
  <c r="B27" i="4"/>
  <c r="W27" i="4" s="1"/>
  <c r="E26" i="4"/>
  <c r="U26" i="4" s="1"/>
  <c r="D26" i="4"/>
  <c r="T26" i="4" s="1"/>
  <c r="C26" i="4"/>
  <c r="S26" i="4" s="1"/>
  <c r="B26" i="4"/>
  <c r="W26" i="4" s="1"/>
  <c r="AC22" i="4"/>
  <c r="U22" i="4"/>
  <c r="T22" i="4"/>
  <c r="S22" i="4"/>
  <c r="R22" i="4"/>
  <c r="K22" i="4"/>
  <c r="J22" i="4"/>
  <c r="I22" i="4"/>
  <c r="H22" i="4"/>
  <c r="E22" i="4"/>
  <c r="Z22" i="4" s="1"/>
  <c r="D22" i="4"/>
  <c r="Y22" i="4" s="1"/>
  <c r="C22" i="4"/>
  <c r="X22" i="4" s="1"/>
  <c r="B22" i="4"/>
  <c r="W22" i="4" s="1"/>
  <c r="E21" i="4"/>
  <c r="U21" i="4" s="1"/>
  <c r="D21" i="4"/>
  <c r="T21" i="4" s="1"/>
  <c r="C21" i="4"/>
  <c r="X21" i="4" s="1"/>
  <c r="B21" i="4"/>
  <c r="W21" i="4" s="1"/>
  <c r="U20" i="4"/>
  <c r="T20" i="4"/>
  <c r="S20" i="4"/>
  <c r="R20" i="4"/>
  <c r="K20" i="4"/>
  <c r="J20" i="4"/>
  <c r="I20" i="4"/>
  <c r="H20" i="4"/>
  <c r="E20" i="4"/>
  <c r="Z20" i="4" s="1"/>
  <c r="D20" i="4"/>
  <c r="Y20" i="4" s="1"/>
  <c r="C20" i="4"/>
  <c r="X20" i="4" s="1"/>
  <c r="B20" i="4"/>
  <c r="W20" i="4" s="1"/>
  <c r="E19" i="4"/>
  <c r="U19" i="4" s="1"/>
  <c r="D19" i="4"/>
  <c r="T19" i="4" s="1"/>
  <c r="C19" i="4"/>
  <c r="X19" i="4" s="1"/>
  <c r="B19" i="4"/>
  <c r="W19" i="4" s="1"/>
  <c r="U18" i="4"/>
  <c r="T18" i="4"/>
  <c r="S18" i="4"/>
  <c r="R18" i="4"/>
  <c r="K18" i="4"/>
  <c r="J18" i="4"/>
  <c r="I18" i="4"/>
  <c r="H18" i="4"/>
  <c r="E18" i="4"/>
  <c r="Z18" i="4" s="1"/>
  <c r="D18" i="4"/>
  <c r="Y18" i="4" s="1"/>
  <c r="C18" i="4"/>
  <c r="X18" i="4" s="1"/>
  <c r="B18" i="4"/>
  <c r="W18" i="4" s="1"/>
  <c r="E17" i="4"/>
  <c r="U17" i="4" s="1"/>
  <c r="D17" i="4"/>
  <c r="T17" i="4" s="1"/>
  <c r="C17" i="4"/>
  <c r="X17" i="4" s="1"/>
  <c r="B17" i="4"/>
  <c r="W17" i="4" s="1"/>
  <c r="AC16" i="4"/>
  <c r="U16" i="4"/>
  <c r="T16" i="4"/>
  <c r="S16" i="4"/>
  <c r="K16" i="4"/>
  <c r="J16" i="4"/>
  <c r="I16" i="4"/>
  <c r="E16" i="4"/>
  <c r="Z16" i="4" s="1"/>
  <c r="D16" i="4"/>
  <c r="Y16" i="4" s="1"/>
  <c r="C16" i="4"/>
  <c r="X16" i="4" s="1"/>
  <c r="B16" i="4"/>
  <c r="R16" i="4" s="1"/>
  <c r="R15" i="4"/>
  <c r="H15" i="4"/>
  <c r="E15" i="4"/>
  <c r="U15" i="4" s="1"/>
  <c r="D15" i="4"/>
  <c r="Y15" i="4" s="1"/>
  <c r="C15" i="4"/>
  <c r="X15" i="4" s="1"/>
  <c r="B15" i="4"/>
  <c r="W15" i="4" s="1"/>
  <c r="U14" i="4"/>
  <c r="T14" i="4"/>
  <c r="S14" i="4"/>
  <c r="K14" i="4"/>
  <c r="J14" i="4"/>
  <c r="I14" i="4"/>
  <c r="E14" i="4"/>
  <c r="Z14" i="4" s="1"/>
  <c r="D14" i="4"/>
  <c r="Y14" i="4" s="1"/>
  <c r="C14" i="4"/>
  <c r="X14" i="4" s="1"/>
  <c r="B14" i="4"/>
  <c r="R14" i="4" s="1"/>
  <c r="K10" i="4"/>
  <c r="J10" i="4"/>
  <c r="I10" i="4"/>
  <c r="H10" i="4"/>
  <c r="K9" i="4"/>
  <c r="J9" i="4"/>
  <c r="I9" i="4"/>
  <c r="H9" i="4"/>
  <c r="K8" i="4"/>
  <c r="J8" i="4"/>
  <c r="I8" i="4"/>
  <c r="H8" i="4"/>
  <c r="K7" i="4"/>
  <c r="J7" i="4"/>
  <c r="I7" i="4"/>
  <c r="H7" i="4"/>
  <c r="K6" i="4"/>
  <c r="J6" i="4"/>
  <c r="I6" i="4"/>
  <c r="H6" i="4"/>
  <c r="K5" i="4"/>
  <c r="J5" i="4"/>
  <c r="I5" i="4"/>
  <c r="H5" i="4"/>
  <c r="P15" i="4" l="1"/>
  <c r="Z15" i="4"/>
  <c r="O17" i="4"/>
  <c r="Y17" i="4"/>
  <c r="O19" i="4"/>
  <c r="Y19" i="4"/>
  <c r="O21" i="4"/>
  <c r="Y21" i="4"/>
  <c r="N26" i="4"/>
  <c r="X26" i="4"/>
  <c r="N28" i="4"/>
  <c r="Y28" i="4"/>
  <c r="U30" i="4"/>
  <c r="K30" i="4"/>
  <c r="N31" i="4"/>
  <c r="Y31" i="4"/>
  <c r="M32" i="4"/>
  <c r="U34" i="4"/>
  <c r="K34" i="4"/>
  <c r="M38" i="4"/>
  <c r="M40" i="4"/>
  <c r="M14" i="4"/>
  <c r="W14" i="4"/>
  <c r="M16" i="4"/>
  <c r="W16" i="4"/>
  <c r="P17" i="4"/>
  <c r="Z17" i="4"/>
  <c r="P19" i="4"/>
  <c r="Z19" i="4"/>
  <c r="P21" i="4"/>
  <c r="Z21" i="4"/>
  <c r="O26" i="4"/>
  <c r="Y26" i="4"/>
  <c r="O28" i="4"/>
  <c r="O31" i="4"/>
  <c r="S39" i="4"/>
  <c r="I39" i="4"/>
  <c r="R41" i="4"/>
  <c r="H41" i="4"/>
  <c r="R43" i="4"/>
  <c r="H43" i="4"/>
  <c r="R45" i="4"/>
  <c r="H45" i="4"/>
  <c r="Y50" i="4"/>
  <c r="Z51" i="4"/>
  <c r="Y52" i="4"/>
  <c r="Z53" i="4"/>
  <c r="Y54" i="4"/>
  <c r="Z55" i="4"/>
  <c r="Y56" i="4"/>
  <c r="Z57" i="4"/>
  <c r="Y58" i="4"/>
  <c r="Z62" i="4"/>
  <c r="Y63" i="4"/>
  <c r="Z64" i="4"/>
  <c r="Y65" i="4"/>
  <c r="Z66" i="4"/>
  <c r="Y67" i="4"/>
  <c r="Z68" i="4"/>
  <c r="Y69" i="4"/>
  <c r="Z70" i="4"/>
  <c r="Y74" i="4"/>
  <c r="Z75" i="4"/>
  <c r="Y76" i="4"/>
  <c r="Z77" i="4"/>
  <c r="Y78" i="4"/>
  <c r="Z79" i="4"/>
  <c r="N14" i="4"/>
  <c r="I15" i="4"/>
  <c r="S15" i="4"/>
  <c r="N16" i="4"/>
  <c r="H17" i="4"/>
  <c r="R17" i="4"/>
  <c r="M18" i="4"/>
  <c r="H19" i="4"/>
  <c r="R19" i="4"/>
  <c r="M20" i="4"/>
  <c r="H21" i="4"/>
  <c r="R21" i="4"/>
  <c r="M22" i="4"/>
  <c r="P26" i="4"/>
  <c r="Z26" i="4"/>
  <c r="P28" i="4"/>
  <c r="T30" i="4"/>
  <c r="R31" i="4"/>
  <c r="Z32" i="4"/>
  <c r="T34" i="4"/>
  <c r="R38" i="4"/>
  <c r="T39" i="4"/>
  <c r="J39" i="4"/>
  <c r="R39" i="4"/>
  <c r="R40" i="4"/>
  <c r="S41" i="4"/>
  <c r="I41" i="4"/>
  <c r="P41" i="4"/>
  <c r="P42" i="4"/>
  <c r="S43" i="4"/>
  <c r="I43" i="4"/>
  <c r="P43" i="4"/>
  <c r="P44" i="4"/>
  <c r="S45" i="4"/>
  <c r="I45" i="4"/>
  <c r="P45" i="4"/>
  <c r="P46" i="4"/>
  <c r="R50" i="4"/>
  <c r="H50" i="4"/>
  <c r="O51" i="4"/>
  <c r="R52" i="4"/>
  <c r="H52" i="4"/>
  <c r="O53" i="4"/>
  <c r="R54" i="4"/>
  <c r="H54" i="4"/>
  <c r="O55" i="4"/>
  <c r="R56" i="4"/>
  <c r="H56" i="4"/>
  <c r="O57" i="4"/>
  <c r="R58" i="4"/>
  <c r="H58" i="4"/>
  <c r="O62" i="4"/>
  <c r="R63" i="4"/>
  <c r="H63" i="4"/>
  <c r="O64" i="4"/>
  <c r="R65" i="4"/>
  <c r="H65" i="4"/>
  <c r="O66" i="4"/>
  <c r="R67" i="4"/>
  <c r="H67" i="4"/>
  <c r="O68" i="4"/>
  <c r="R69" i="4"/>
  <c r="H69" i="4"/>
  <c r="O70" i="4"/>
  <c r="R74" i="4"/>
  <c r="H74" i="4"/>
  <c r="O75" i="4"/>
  <c r="R76" i="4"/>
  <c r="H76" i="4"/>
  <c r="O77" i="4"/>
  <c r="R78" i="4"/>
  <c r="H78" i="4"/>
  <c r="R80" i="4"/>
  <c r="H80" i="4"/>
  <c r="O14" i="4"/>
  <c r="J15" i="4"/>
  <c r="T15" i="4"/>
  <c r="O16" i="4"/>
  <c r="I17" i="4"/>
  <c r="S17" i="4"/>
  <c r="N18" i="4"/>
  <c r="I19" i="4"/>
  <c r="S19" i="4"/>
  <c r="N20" i="4"/>
  <c r="I21" i="4"/>
  <c r="S21" i="4"/>
  <c r="N22" i="4"/>
  <c r="H26" i="4"/>
  <c r="R26" i="4"/>
  <c r="M27" i="4"/>
  <c r="H28" i="4"/>
  <c r="R28" i="4"/>
  <c r="M29" i="4"/>
  <c r="X29" i="4"/>
  <c r="J30" i="4"/>
  <c r="H31" i="4"/>
  <c r="S31" i="4"/>
  <c r="M33" i="4"/>
  <c r="X33" i="4"/>
  <c r="J34" i="4"/>
  <c r="U39" i="4"/>
  <c r="T41" i="4"/>
  <c r="T43" i="4"/>
  <c r="T45" i="4"/>
  <c r="O50" i="4"/>
  <c r="O52" i="4"/>
  <c r="O54" i="4"/>
  <c r="O56" i="4"/>
  <c r="O58" i="4"/>
  <c r="O63" i="4"/>
  <c r="O65" i="4"/>
  <c r="O67" i="4"/>
  <c r="O69" i="4"/>
  <c r="O74" i="4"/>
  <c r="O76" i="4"/>
  <c r="O78" i="4"/>
  <c r="O80" i="4"/>
  <c r="P14" i="4"/>
  <c r="K15" i="4"/>
  <c r="P16" i="4"/>
  <c r="J17" i="4"/>
  <c r="O18" i="4"/>
  <c r="J19" i="4"/>
  <c r="O20" i="4"/>
  <c r="J21" i="4"/>
  <c r="O22" i="4"/>
  <c r="I26" i="4"/>
  <c r="N27" i="4"/>
  <c r="I28" i="4"/>
  <c r="T31" i="4"/>
  <c r="U32" i="4"/>
  <c r="K32" i="4"/>
  <c r="R32" i="4"/>
  <c r="H38" i="4"/>
  <c r="H39" i="4"/>
  <c r="W39" i="4"/>
  <c r="H40" i="4"/>
  <c r="U41" i="4"/>
  <c r="U43" i="4"/>
  <c r="U45" i="4"/>
  <c r="H14" i="4"/>
  <c r="M15" i="4"/>
  <c r="H16" i="4"/>
  <c r="K17" i="4"/>
  <c r="P18" i="4"/>
  <c r="K19" i="4"/>
  <c r="P20" i="4"/>
  <c r="K21" i="4"/>
  <c r="P22" i="4"/>
  <c r="J26" i="4"/>
  <c r="O27" i="4"/>
  <c r="J28" i="4"/>
  <c r="Y30" i="4"/>
  <c r="H32" i="4"/>
  <c r="Y34" i="4"/>
  <c r="X39" i="4"/>
  <c r="W41" i="4"/>
  <c r="W43" i="4"/>
  <c r="W45" i="4"/>
  <c r="T50" i="4"/>
  <c r="U51" i="4"/>
  <c r="K51" i="4"/>
  <c r="T52" i="4"/>
  <c r="U53" i="4"/>
  <c r="K53" i="4"/>
  <c r="T54" i="4"/>
  <c r="U55" i="4"/>
  <c r="K55" i="4"/>
  <c r="T56" i="4"/>
  <c r="U57" i="4"/>
  <c r="K57" i="4"/>
  <c r="T58" i="4"/>
  <c r="U62" i="4"/>
  <c r="K62" i="4"/>
  <c r="T63" i="4"/>
  <c r="U64" i="4"/>
  <c r="K64" i="4"/>
  <c r="T65" i="4"/>
  <c r="U66" i="4"/>
  <c r="K66" i="4"/>
  <c r="T67" i="4"/>
  <c r="U68" i="4"/>
  <c r="K68" i="4"/>
  <c r="T69" i="4"/>
  <c r="U70" i="4"/>
  <c r="K70" i="4"/>
  <c r="T74" i="4"/>
  <c r="U75" i="4"/>
  <c r="K75" i="4"/>
  <c r="T76" i="4"/>
  <c r="U77" i="4"/>
  <c r="K77" i="4"/>
  <c r="T78" i="4"/>
  <c r="U79" i="4"/>
  <c r="K79" i="4"/>
  <c r="N15" i="4"/>
  <c r="M17" i="4"/>
  <c r="M19" i="4"/>
  <c r="M21" i="4"/>
  <c r="K26" i="4"/>
  <c r="P27" i="4"/>
  <c r="K28" i="4"/>
  <c r="Z30" i="4"/>
  <c r="W31" i="4"/>
  <c r="Z34" i="4"/>
  <c r="Y39" i="4"/>
  <c r="X41" i="4"/>
  <c r="X43" i="4"/>
  <c r="X45" i="4"/>
  <c r="O15" i="4"/>
  <c r="N17" i="4"/>
  <c r="N19" i="4"/>
  <c r="N21" i="4"/>
  <c r="M26" i="4"/>
  <c r="M28" i="4"/>
  <c r="K38" i="4"/>
  <c r="N39" i="4"/>
  <c r="K40" i="4"/>
  <c r="M41" i="4"/>
  <c r="J42" i="4"/>
  <c r="M43" i="4"/>
  <c r="J44" i="4"/>
  <c r="M45" i="4"/>
  <c r="J46" i="4"/>
  <c r="W50" i="4"/>
  <c r="I51" i="4"/>
  <c r="W52" i="4"/>
  <c r="I53" i="4"/>
  <c r="W54" i="4"/>
  <c r="I55" i="4"/>
  <c r="W56" i="4"/>
  <c r="I57" i="4"/>
  <c r="W58" i="4"/>
  <c r="I62" i="4"/>
  <c r="W63" i="4"/>
  <c r="I64" i="4"/>
  <c r="W65" i="4"/>
  <c r="I66" i="4"/>
  <c r="W67" i="4"/>
  <c r="I68" i="4"/>
  <c r="W69" i="4"/>
  <c r="I70" i="4"/>
  <c r="W74" i="4"/>
  <c r="I75" i="4"/>
  <c r="W76" i="4"/>
  <c r="I77" i="4"/>
  <c r="W78" i="4"/>
  <c r="I79" i="4"/>
  <c r="W80" i="4"/>
  <c r="P29" i="4"/>
  <c r="P31" i="4"/>
  <c r="P33" i="4"/>
  <c r="O38" i="4"/>
  <c r="O40" i="4"/>
  <c r="N42" i="4"/>
  <c r="N44" i="4"/>
  <c r="N46" i="4"/>
  <c r="M51" i="4"/>
  <c r="M53" i="4"/>
  <c r="M55" i="4"/>
  <c r="M57" i="4"/>
  <c r="M62" i="4"/>
  <c r="M64" i="4"/>
  <c r="M66" i="4"/>
  <c r="M68" i="4"/>
  <c r="M70" i="4"/>
  <c r="M75" i="4"/>
  <c r="M77" i="4"/>
  <c r="M79" i="4"/>
  <c r="M81" i="4"/>
  <c r="H82" i="4"/>
  <c r="R82" i="4"/>
  <c r="N81" i="4"/>
  <c r="I82" i="4"/>
  <c r="S82" i="4"/>
  <c r="O81" i="4"/>
  <c r="J82" i="4"/>
  <c r="T82" i="4"/>
  <c r="P81" i="4"/>
  <c r="Z81" i="4"/>
  <c r="K82" i="4"/>
  <c r="U82" i="4"/>
  <c r="M82" i="4"/>
  <c r="N82" i="4"/>
  <c r="O82" i="4"/>
  <c r="N38" i="4"/>
  <c r="N40" i="4"/>
  <c r="M42" i="4"/>
  <c r="M44" i="4"/>
  <c r="M46" i="4"/>
  <c r="P50" i="4"/>
  <c r="P52" i="4"/>
  <c r="P54" i="4"/>
  <c r="P56" i="4"/>
  <c r="P58" i="4"/>
  <c r="P63" i="4"/>
  <c r="P65" i="4"/>
  <c r="P67" i="4"/>
  <c r="P69" i="4"/>
  <c r="P74" i="4"/>
  <c r="P76" i="4"/>
  <c r="P78" i="4"/>
  <c r="P80" i="4"/>
  <c r="K81" i="4"/>
  <c r="P82" i="4"/>
</calcChain>
</file>

<file path=xl/sharedStrings.xml><?xml version="1.0" encoding="utf-8"?>
<sst xmlns="http://schemas.openxmlformats.org/spreadsheetml/2006/main" count="281" uniqueCount="51">
  <si>
    <t>Target Match Load</t>
  </si>
  <si>
    <t>Weekly Progressions</t>
  </si>
  <si>
    <t>Position</t>
  </si>
  <si>
    <t>TD</t>
  </si>
  <si>
    <t>HMLD</t>
  </si>
  <si>
    <t>HSR</t>
  </si>
  <si>
    <t>A+D</t>
  </si>
  <si>
    <t>BIP m/min</t>
  </si>
  <si>
    <t>Week 1</t>
  </si>
  <si>
    <t>Week 2</t>
  </si>
  <si>
    <t>Week 3</t>
  </si>
  <si>
    <t>Week 4</t>
  </si>
  <si>
    <t>Week 5</t>
  </si>
  <si>
    <t>Week 6</t>
  </si>
  <si>
    <t>Prop</t>
  </si>
  <si>
    <t>Hooker</t>
  </si>
  <si>
    <t>TOF</t>
  </si>
  <si>
    <t>BIP</t>
  </si>
  <si>
    <t>Lock</t>
  </si>
  <si>
    <t>Week 1 AVG</t>
  </si>
  <si>
    <t>Back row</t>
  </si>
  <si>
    <t>Week 2 AVG</t>
  </si>
  <si>
    <t>Scrum-half</t>
  </si>
  <si>
    <t>Week 3 AVG</t>
  </si>
  <si>
    <t>Fly-half</t>
  </si>
  <si>
    <t>Week 4 AVG</t>
  </si>
  <si>
    <t>Center</t>
  </si>
  <si>
    <t>Week 5 AVG</t>
  </si>
  <si>
    <t>Wing</t>
  </si>
  <si>
    <t>Week 6 AVG</t>
  </si>
  <si>
    <t>Fullback</t>
  </si>
  <si>
    <t>Week 1 TOF</t>
  </si>
  <si>
    <t>Monday - Speed Testing</t>
  </si>
  <si>
    <t>Tuesday - Bronco Testing</t>
  </si>
  <si>
    <t>Thursday - Shuttle Testing</t>
  </si>
  <si>
    <t>Friday - Skills</t>
  </si>
  <si>
    <t>Mon</t>
  </si>
  <si>
    <t>Tue</t>
  </si>
  <si>
    <t>Thu</t>
  </si>
  <si>
    <t>Fri</t>
  </si>
  <si>
    <t>Week 2 TOF</t>
  </si>
  <si>
    <t>Week 3 TOF</t>
  </si>
  <si>
    <t>Monday - Skills</t>
  </si>
  <si>
    <t>Tuesday - Team</t>
  </si>
  <si>
    <t>Thursday - Team</t>
  </si>
  <si>
    <t>Sat</t>
  </si>
  <si>
    <t>Week 4 TOF</t>
  </si>
  <si>
    <t>Week 5 TOF</t>
  </si>
  <si>
    <t>Saturday - Team</t>
  </si>
  <si>
    <t>Week 6 TOF</t>
  </si>
  <si>
    <t>Saturday - Scrimmage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</si>
</sst>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Assignments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5"/>
  <sheetViews>
    <sheetView tabSelected="1"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/>
      <c r="B1" s="11" t="s">
        <v>0</v>
      </c>
      <c r="C1" s="12"/>
      <c r="D1" s="12"/>
      <c r="E1" s="12"/>
      <c r="F1" s="10"/>
      <c r="G1" s="2"/>
      <c r="H1" s="11" t="s">
        <v>1</v>
      </c>
      <c r="I1" s="12"/>
      <c r="J1" s="12"/>
      <c r="K1" s="12"/>
      <c r="L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1"/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 x14ac:dyDescent="0.15">
      <c r="A3" s="4" t="s">
        <v>14</v>
      </c>
      <c r="B3" s="5">
        <v>5626</v>
      </c>
      <c r="C3" s="6">
        <v>391</v>
      </c>
      <c r="D3" s="6">
        <v>100</v>
      </c>
      <c r="E3" s="6">
        <v>31</v>
      </c>
      <c r="F3" s="6">
        <v>85</v>
      </c>
      <c r="G3" s="1"/>
      <c r="H3" s="1">
        <v>1.8</v>
      </c>
      <c r="I3" s="1">
        <v>2.2000000000000002</v>
      </c>
      <c r="J3" s="1">
        <v>2.6</v>
      </c>
      <c r="K3" s="1">
        <v>2.4</v>
      </c>
      <c r="L3" s="1">
        <v>2.5</v>
      </c>
      <c r="M3" s="1">
        <v>2.6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x14ac:dyDescent="0.15">
      <c r="A4" s="4" t="s">
        <v>15</v>
      </c>
      <c r="B4" s="5">
        <v>5487</v>
      </c>
      <c r="C4" s="6">
        <v>364</v>
      </c>
      <c r="D4" s="6">
        <v>140</v>
      </c>
      <c r="E4" s="6">
        <v>30</v>
      </c>
      <c r="F4" s="6">
        <v>81</v>
      </c>
      <c r="G4" s="1"/>
      <c r="H4" s="3" t="s">
        <v>3</v>
      </c>
      <c r="I4" s="3" t="s">
        <v>4</v>
      </c>
      <c r="J4" s="3" t="s">
        <v>5</v>
      </c>
      <c r="K4" s="3" t="s">
        <v>6</v>
      </c>
      <c r="L4" s="3" t="s">
        <v>16</v>
      </c>
      <c r="M4" s="3" t="s">
        <v>17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customHeight="1" x14ac:dyDescent="0.15">
      <c r="A5" s="4" t="s">
        <v>18</v>
      </c>
      <c r="B5" s="5">
        <v>6309</v>
      </c>
      <c r="C5" s="6">
        <v>563</v>
      </c>
      <c r="D5" s="6">
        <v>284</v>
      </c>
      <c r="E5" s="6">
        <v>53</v>
      </c>
      <c r="F5" s="6">
        <v>103</v>
      </c>
      <c r="G5" s="7" t="s">
        <v>19</v>
      </c>
      <c r="H5" s="8">
        <f t="shared" ref="H5:K5" si="0">AVERAGE(B14:B22)</f>
        <v>11526.6</v>
      </c>
      <c r="I5" s="8">
        <f t="shared" si="0"/>
        <v>1466.1999999999998</v>
      </c>
      <c r="J5" s="8">
        <f t="shared" si="0"/>
        <v>908.19999999999993</v>
      </c>
      <c r="K5" s="8">
        <f t="shared" si="0"/>
        <v>137</v>
      </c>
      <c r="L5" s="1">
        <v>260</v>
      </c>
      <c r="M5" s="1">
        <v>26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 x14ac:dyDescent="0.15">
      <c r="A6" s="4" t="s">
        <v>20</v>
      </c>
      <c r="B6" s="5">
        <v>6399</v>
      </c>
      <c r="C6" s="6">
        <v>698</v>
      </c>
      <c r="D6" s="6">
        <v>356</v>
      </c>
      <c r="E6" s="6">
        <v>71</v>
      </c>
      <c r="F6" s="6">
        <v>106</v>
      </c>
      <c r="G6" s="7" t="s">
        <v>21</v>
      </c>
      <c r="H6" s="8">
        <f t="shared" ref="H6:K6" si="1">AVERAGE(B26:B34)</f>
        <v>14088.066666666668</v>
      </c>
      <c r="I6" s="8">
        <f t="shared" si="1"/>
        <v>1792.0222222222226</v>
      </c>
      <c r="J6" s="8">
        <f t="shared" si="1"/>
        <v>1110.0222222222224</v>
      </c>
      <c r="K6" s="8">
        <f t="shared" si="1"/>
        <v>167.44444444444446</v>
      </c>
      <c r="L6" s="1">
        <v>275</v>
      </c>
      <c r="M6" s="1">
        <v>34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 x14ac:dyDescent="0.15">
      <c r="A7" s="4" t="s">
        <v>22</v>
      </c>
      <c r="B7" s="5">
        <v>6484</v>
      </c>
      <c r="C7" s="5">
        <v>1193</v>
      </c>
      <c r="D7" s="6">
        <v>819</v>
      </c>
      <c r="E7" s="6">
        <v>102</v>
      </c>
      <c r="F7" s="6">
        <v>106</v>
      </c>
      <c r="G7" s="7" t="s">
        <v>23</v>
      </c>
      <c r="H7" s="8">
        <f t="shared" ref="H7:K7" si="2">AVERAGE(B38:B46)</f>
        <v>16649.533333333333</v>
      </c>
      <c r="I7" s="8">
        <f t="shared" si="2"/>
        <v>2117.8444444444449</v>
      </c>
      <c r="J7" s="8">
        <f t="shared" si="2"/>
        <v>1311.8444444444444</v>
      </c>
      <c r="K7" s="8">
        <f t="shared" si="2"/>
        <v>197.88888888888889</v>
      </c>
      <c r="L7" s="1">
        <v>295</v>
      </c>
      <c r="M7" s="1">
        <v>44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 x14ac:dyDescent="0.15">
      <c r="A8" s="4" t="s">
        <v>24</v>
      </c>
      <c r="B8" s="5">
        <v>6056</v>
      </c>
      <c r="C8" s="6">
        <v>661</v>
      </c>
      <c r="D8" s="6">
        <v>269</v>
      </c>
      <c r="E8" s="6">
        <v>87</v>
      </c>
      <c r="F8" s="6">
        <v>95</v>
      </c>
      <c r="G8" s="7" t="s">
        <v>25</v>
      </c>
      <c r="H8" s="8">
        <f t="shared" ref="H8:K8" si="3">AVERAGE(B50:B58)</f>
        <v>15368.800000000001</v>
      </c>
      <c r="I8" s="8">
        <f t="shared" si="3"/>
        <v>1954.9333333333334</v>
      </c>
      <c r="J8" s="8">
        <f t="shared" si="3"/>
        <v>1210.9333333333334</v>
      </c>
      <c r="K8" s="8">
        <f t="shared" si="3"/>
        <v>182.66666666666666</v>
      </c>
      <c r="L8" s="1">
        <v>270</v>
      </c>
      <c r="M8" s="1"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 x14ac:dyDescent="0.15">
      <c r="A9" s="4" t="s">
        <v>26</v>
      </c>
      <c r="B9" s="5">
        <v>6757</v>
      </c>
      <c r="C9" s="5">
        <v>1075</v>
      </c>
      <c r="D9" s="6">
        <v>733</v>
      </c>
      <c r="E9" s="6">
        <v>113</v>
      </c>
      <c r="F9" s="6">
        <v>112</v>
      </c>
      <c r="G9" s="7" t="s">
        <v>27</v>
      </c>
      <c r="H9" s="8">
        <f t="shared" ref="H9:K9" si="4">AVERAGE(B62:B70)</f>
        <v>16009.166666666666</v>
      </c>
      <c r="I9" s="8">
        <f t="shared" si="4"/>
        <v>2036.3888888888889</v>
      </c>
      <c r="J9" s="8">
        <f t="shared" si="4"/>
        <v>1261.3888888888889</v>
      </c>
      <c r="K9" s="8">
        <f t="shared" si="4"/>
        <v>190.27777777777777</v>
      </c>
      <c r="L9" s="1">
        <v>305</v>
      </c>
      <c r="M9" s="1">
        <v>54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 x14ac:dyDescent="0.15">
      <c r="A10" s="4" t="s">
        <v>28</v>
      </c>
      <c r="B10" s="5">
        <v>7385</v>
      </c>
      <c r="C10" s="5">
        <v>1291</v>
      </c>
      <c r="D10" s="5">
        <v>1034</v>
      </c>
      <c r="E10" s="6">
        <v>105</v>
      </c>
      <c r="F10" s="6">
        <v>130</v>
      </c>
      <c r="G10" s="7" t="s">
        <v>29</v>
      </c>
      <c r="H10" s="8">
        <f t="shared" ref="H10:K10" si="5">AVERAGE(B74:B82)</f>
        <v>16649.533333333333</v>
      </c>
      <c r="I10" s="8">
        <f t="shared" si="5"/>
        <v>2117.8444444444449</v>
      </c>
      <c r="J10" s="8">
        <f t="shared" si="5"/>
        <v>1311.8444444444444</v>
      </c>
      <c r="K10" s="8">
        <f t="shared" si="5"/>
        <v>197.88888888888889</v>
      </c>
      <c r="L10" s="1">
        <v>315</v>
      </c>
      <c r="M10" s="1">
        <v>18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 x14ac:dyDescent="0.15">
      <c r="A11" s="4" t="s">
        <v>30</v>
      </c>
      <c r="B11" s="5">
        <v>7130</v>
      </c>
      <c r="C11" s="5">
        <v>1095</v>
      </c>
      <c r="D11" s="6">
        <v>806</v>
      </c>
      <c r="E11" s="6">
        <v>93</v>
      </c>
      <c r="F11" s="6">
        <v>121</v>
      </c>
      <c r="G11" s="1"/>
      <c r="H11" s="1">
        <v>0.1</v>
      </c>
      <c r="I11" s="1">
        <v>0.1</v>
      </c>
      <c r="J11" s="1">
        <v>0.1</v>
      </c>
      <c r="K11" s="1">
        <v>0.05</v>
      </c>
      <c r="L11" s="1"/>
      <c r="M11" s="1">
        <v>0.35</v>
      </c>
      <c r="N11" s="1">
        <v>0.35</v>
      </c>
      <c r="O11" s="1">
        <v>0.5</v>
      </c>
      <c r="P11" s="1">
        <v>0.3</v>
      </c>
      <c r="Q11" s="1"/>
      <c r="R11" s="1">
        <v>0.4</v>
      </c>
      <c r="S11" s="1">
        <v>0.45</v>
      </c>
      <c r="T11" s="1">
        <v>0.35</v>
      </c>
      <c r="U11" s="1">
        <v>0.5</v>
      </c>
      <c r="V11" s="1"/>
      <c r="W11" s="1">
        <v>0.15</v>
      </c>
      <c r="X11" s="1">
        <v>0.1</v>
      </c>
      <c r="Y11" s="1">
        <v>0.05</v>
      </c>
      <c r="Z11" s="1">
        <v>0.15</v>
      </c>
      <c r="AA11" s="1"/>
      <c r="AB11" s="9" t="s">
        <v>31</v>
      </c>
      <c r="AC11" s="10"/>
      <c r="AD11" s="1"/>
    </row>
    <row r="12" spans="1:30" ht="15.75" customHeight="1" x14ac:dyDescent="0.15">
      <c r="A12" s="11" t="s">
        <v>8</v>
      </c>
      <c r="B12" s="12"/>
      <c r="C12" s="12"/>
      <c r="D12" s="12"/>
      <c r="E12" s="12"/>
      <c r="F12" s="10"/>
      <c r="G12" s="1"/>
      <c r="H12" s="11" t="s">
        <v>32</v>
      </c>
      <c r="I12" s="12"/>
      <c r="J12" s="12"/>
      <c r="K12" s="10"/>
      <c r="L12" s="1"/>
      <c r="M12" s="11" t="s">
        <v>33</v>
      </c>
      <c r="N12" s="12"/>
      <c r="O12" s="12"/>
      <c r="P12" s="10"/>
      <c r="Q12" s="1"/>
      <c r="R12" s="11" t="s">
        <v>34</v>
      </c>
      <c r="S12" s="12"/>
      <c r="T12" s="12"/>
      <c r="U12" s="10"/>
      <c r="V12" s="1"/>
      <c r="W12" s="11" t="s">
        <v>35</v>
      </c>
      <c r="X12" s="12"/>
      <c r="Y12" s="12"/>
      <c r="Z12" s="10"/>
      <c r="AA12" s="1"/>
      <c r="AB12" s="1" t="s">
        <v>36</v>
      </c>
      <c r="AC12" s="1">
        <v>60</v>
      </c>
      <c r="AD12" s="1"/>
    </row>
    <row r="13" spans="1:30" ht="15.75" customHeight="1" x14ac:dyDescent="0.1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1"/>
      <c r="H13" s="3" t="s">
        <v>3</v>
      </c>
      <c r="I13" s="3" t="s">
        <v>4</v>
      </c>
      <c r="J13" s="3" t="s">
        <v>5</v>
      </c>
      <c r="K13" s="3" t="s">
        <v>6</v>
      </c>
      <c r="L13" s="1"/>
      <c r="M13" s="3" t="s">
        <v>3</v>
      </c>
      <c r="N13" s="3" t="s">
        <v>4</v>
      </c>
      <c r="O13" s="3" t="s">
        <v>5</v>
      </c>
      <c r="P13" s="3" t="s">
        <v>6</v>
      </c>
      <c r="Q13" s="1"/>
      <c r="R13" s="3" t="s">
        <v>3</v>
      </c>
      <c r="S13" s="3" t="s">
        <v>4</v>
      </c>
      <c r="T13" s="3" t="s">
        <v>5</v>
      </c>
      <c r="U13" s="3" t="s">
        <v>6</v>
      </c>
      <c r="V13" s="1"/>
      <c r="W13" s="3" t="s">
        <v>3</v>
      </c>
      <c r="X13" s="3" t="s">
        <v>4</v>
      </c>
      <c r="Y13" s="3" t="s">
        <v>5</v>
      </c>
      <c r="Z13" s="3" t="s">
        <v>6</v>
      </c>
      <c r="AA13" s="1"/>
      <c r="AB13" s="1" t="s">
        <v>37</v>
      </c>
      <c r="AC13" s="1">
        <v>70</v>
      </c>
      <c r="AD13" s="1"/>
    </row>
    <row r="14" spans="1:30" ht="15.75" customHeight="1" x14ac:dyDescent="0.15">
      <c r="A14" s="4" t="s">
        <v>14</v>
      </c>
      <c r="B14" s="1">
        <f t="shared" ref="B14:E14" si="6">B3*$H$3</f>
        <v>10126.800000000001</v>
      </c>
      <c r="C14" s="1">
        <f t="shared" si="6"/>
        <v>703.80000000000007</v>
      </c>
      <c r="D14" s="1">
        <f t="shared" si="6"/>
        <v>180</v>
      </c>
      <c r="E14" s="1">
        <f t="shared" si="6"/>
        <v>55.800000000000004</v>
      </c>
      <c r="F14" s="1">
        <v>85</v>
      </c>
      <c r="G14" s="1"/>
      <c r="H14" s="1">
        <f t="shared" ref="H14:H22" si="7">B14*$H$11</f>
        <v>1012.6800000000002</v>
      </c>
      <c r="I14" s="1">
        <f t="shared" ref="I14:I22" si="8">C14*$I$11</f>
        <v>70.38000000000001</v>
      </c>
      <c r="J14" s="1">
        <f t="shared" ref="J14:J22" si="9">D14*$J$11</f>
        <v>18</v>
      </c>
      <c r="K14" s="1">
        <f t="shared" ref="K14:K22" si="10">E14*$K$11</f>
        <v>2.7900000000000005</v>
      </c>
      <c r="L14" s="1"/>
      <c r="M14" s="1">
        <f t="shared" ref="M14:M22" si="11">B14*$M$11</f>
        <v>3544.38</v>
      </c>
      <c r="N14" s="1">
        <f t="shared" ref="N14:N22" si="12">C14*$N$11</f>
        <v>246.33</v>
      </c>
      <c r="O14" s="1">
        <f t="shared" ref="O14:O22" si="13">D14*$O$11</f>
        <v>90</v>
      </c>
      <c r="P14" s="1">
        <f t="shared" ref="P14:P22" si="14">E14*$P$11</f>
        <v>16.740000000000002</v>
      </c>
      <c r="Q14" s="1"/>
      <c r="R14" s="1">
        <f t="shared" ref="R14:R22" si="15">B14*$R$11</f>
        <v>4050.7200000000007</v>
      </c>
      <c r="S14" s="1">
        <f t="shared" ref="S14:S22" si="16">C14*$S$11</f>
        <v>316.71000000000004</v>
      </c>
      <c r="T14" s="1">
        <f t="shared" ref="T14:T22" si="17">D14*$T$11</f>
        <v>62.999999999999993</v>
      </c>
      <c r="U14" s="1">
        <f t="shared" ref="U14:U22" si="18">E14*$U$11</f>
        <v>27.900000000000002</v>
      </c>
      <c r="V14" s="1"/>
      <c r="W14" s="1">
        <f t="shared" ref="W14:W22" si="19">B14*$W$11</f>
        <v>1519.0200000000002</v>
      </c>
      <c r="X14" s="1">
        <f t="shared" ref="X14:X22" si="20">C14*$X$11</f>
        <v>70.38000000000001</v>
      </c>
      <c r="Y14" s="1">
        <f t="shared" ref="Y14:Y22" si="21">D14*$Y$11</f>
        <v>9</v>
      </c>
      <c r="Z14" s="1">
        <f t="shared" ref="Z14:Z22" si="22">E14*$Z$11</f>
        <v>8.370000000000001</v>
      </c>
      <c r="AA14" s="1"/>
      <c r="AB14" s="1" t="s">
        <v>38</v>
      </c>
      <c r="AC14" s="1">
        <v>70</v>
      </c>
      <c r="AD14" s="1"/>
    </row>
    <row r="15" spans="1:30" ht="15.75" customHeight="1" x14ac:dyDescent="0.15">
      <c r="A15" s="4" t="s">
        <v>15</v>
      </c>
      <c r="B15" s="1">
        <f t="shared" ref="B15:E15" si="23">B4*$H$3</f>
        <v>9876.6</v>
      </c>
      <c r="C15" s="1">
        <f t="shared" si="23"/>
        <v>655.20000000000005</v>
      </c>
      <c r="D15" s="1">
        <f t="shared" si="23"/>
        <v>252</v>
      </c>
      <c r="E15" s="1">
        <f t="shared" si="23"/>
        <v>54</v>
      </c>
      <c r="F15" s="1">
        <v>81</v>
      </c>
      <c r="G15" s="1"/>
      <c r="H15" s="1">
        <f t="shared" si="7"/>
        <v>987.66000000000008</v>
      </c>
      <c r="I15" s="1">
        <f t="shared" si="8"/>
        <v>65.52000000000001</v>
      </c>
      <c r="J15" s="1">
        <f t="shared" si="9"/>
        <v>25.200000000000003</v>
      </c>
      <c r="K15" s="1">
        <f t="shared" si="10"/>
        <v>2.7</v>
      </c>
      <c r="L15" s="1"/>
      <c r="M15" s="1">
        <f t="shared" si="11"/>
        <v>3456.81</v>
      </c>
      <c r="N15" s="1">
        <f t="shared" si="12"/>
        <v>229.32</v>
      </c>
      <c r="O15" s="1">
        <f t="shared" si="13"/>
        <v>126</v>
      </c>
      <c r="P15" s="1">
        <f t="shared" si="14"/>
        <v>16.2</v>
      </c>
      <c r="Q15" s="1"/>
      <c r="R15" s="1">
        <f t="shared" si="15"/>
        <v>3950.6400000000003</v>
      </c>
      <c r="S15" s="1">
        <f t="shared" si="16"/>
        <v>294.84000000000003</v>
      </c>
      <c r="T15" s="1">
        <f t="shared" si="17"/>
        <v>88.199999999999989</v>
      </c>
      <c r="U15" s="1">
        <f t="shared" si="18"/>
        <v>27</v>
      </c>
      <c r="V15" s="1"/>
      <c r="W15" s="1">
        <f t="shared" si="19"/>
        <v>1481.49</v>
      </c>
      <c r="X15" s="1">
        <f t="shared" si="20"/>
        <v>65.52000000000001</v>
      </c>
      <c r="Y15" s="1">
        <f t="shared" si="21"/>
        <v>12.600000000000001</v>
      </c>
      <c r="Z15" s="1">
        <f t="shared" si="22"/>
        <v>8.1</v>
      </c>
      <c r="AA15" s="1"/>
      <c r="AB15" s="1" t="s">
        <v>39</v>
      </c>
      <c r="AC15" s="1">
        <v>60</v>
      </c>
      <c r="AD15" s="1"/>
    </row>
    <row r="16" spans="1:30" ht="15.75" customHeight="1" x14ac:dyDescent="0.15">
      <c r="A16" s="4" t="s">
        <v>18</v>
      </c>
      <c r="B16" s="1">
        <f t="shared" ref="B16:E16" si="24">B5*$H$3</f>
        <v>11356.2</v>
      </c>
      <c r="C16" s="1">
        <f t="shared" si="24"/>
        <v>1013.4</v>
      </c>
      <c r="D16" s="1">
        <f t="shared" si="24"/>
        <v>511.2</v>
      </c>
      <c r="E16" s="1">
        <f t="shared" si="24"/>
        <v>95.4</v>
      </c>
      <c r="F16" s="1">
        <v>103</v>
      </c>
      <c r="G16" s="1"/>
      <c r="H16" s="1">
        <f t="shared" si="7"/>
        <v>1135.6200000000001</v>
      </c>
      <c r="I16" s="1">
        <f t="shared" si="8"/>
        <v>101.34</v>
      </c>
      <c r="J16" s="1">
        <f t="shared" si="9"/>
        <v>51.120000000000005</v>
      </c>
      <c r="K16" s="1">
        <f t="shared" si="10"/>
        <v>4.7700000000000005</v>
      </c>
      <c r="L16" s="1"/>
      <c r="M16" s="1">
        <f t="shared" si="11"/>
        <v>3974.67</v>
      </c>
      <c r="N16" s="1">
        <f t="shared" si="12"/>
        <v>354.69</v>
      </c>
      <c r="O16" s="1">
        <f t="shared" si="13"/>
        <v>255.6</v>
      </c>
      <c r="P16" s="1">
        <f t="shared" si="14"/>
        <v>28.62</v>
      </c>
      <c r="Q16" s="1"/>
      <c r="R16" s="1">
        <f t="shared" si="15"/>
        <v>4542.4800000000005</v>
      </c>
      <c r="S16" s="1">
        <f t="shared" si="16"/>
        <v>456.03</v>
      </c>
      <c r="T16" s="1">
        <f t="shared" si="17"/>
        <v>178.92</v>
      </c>
      <c r="U16" s="1">
        <f t="shared" si="18"/>
        <v>47.7</v>
      </c>
      <c r="V16" s="1"/>
      <c r="W16" s="1">
        <f t="shared" si="19"/>
        <v>1703.43</v>
      </c>
      <c r="X16" s="1">
        <f t="shared" si="20"/>
        <v>101.34</v>
      </c>
      <c r="Y16" s="1">
        <f t="shared" si="21"/>
        <v>25.560000000000002</v>
      </c>
      <c r="Z16" s="1">
        <f t="shared" si="22"/>
        <v>14.31</v>
      </c>
      <c r="AA16" s="1"/>
      <c r="AB16" s="1"/>
      <c r="AC16" s="2">
        <f>SUM(AC12:AC15)</f>
        <v>260</v>
      </c>
      <c r="AD16" s="1"/>
    </row>
    <row r="17" spans="1:30" ht="15.75" customHeight="1" x14ac:dyDescent="0.15">
      <c r="A17" s="4" t="s">
        <v>20</v>
      </c>
      <c r="B17" s="1">
        <f t="shared" ref="B17:E17" si="25">B6*$H$3</f>
        <v>11518.2</v>
      </c>
      <c r="C17" s="1">
        <f t="shared" si="25"/>
        <v>1256.4000000000001</v>
      </c>
      <c r="D17" s="1">
        <f t="shared" si="25"/>
        <v>640.80000000000007</v>
      </c>
      <c r="E17" s="1">
        <f t="shared" si="25"/>
        <v>127.8</v>
      </c>
      <c r="F17" s="1">
        <v>106</v>
      </c>
      <c r="G17" s="1"/>
      <c r="H17" s="1">
        <f t="shared" si="7"/>
        <v>1151.8200000000002</v>
      </c>
      <c r="I17" s="1">
        <f t="shared" si="8"/>
        <v>125.64000000000001</v>
      </c>
      <c r="J17" s="1">
        <f t="shared" si="9"/>
        <v>64.080000000000013</v>
      </c>
      <c r="K17" s="1">
        <f t="shared" si="10"/>
        <v>6.3900000000000006</v>
      </c>
      <c r="L17" s="1"/>
      <c r="M17" s="1">
        <f t="shared" si="11"/>
        <v>4031.37</v>
      </c>
      <c r="N17" s="1">
        <f t="shared" si="12"/>
        <v>439.74</v>
      </c>
      <c r="O17" s="1">
        <f t="shared" si="13"/>
        <v>320.40000000000003</v>
      </c>
      <c r="P17" s="1">
        <f t="shared" si="14"/>
        <v>38.339999999999996</v>
      </c>
      <c r="Q17" s="1"/>
      <c r="R17" s="1">
        <f t="shared" si="15"/>
        <v>4607.2800000000007</v>
      </c>
      <c r="S17" s="1">
        <f t="shared" si="16"/>
        <v>565.38000000000011</v>
      </c>
      <c r="T17" s="1">
        <f t="shared" si="17"/>
        <v>224.28</v>
      </c>
      <c r="U17" s="1">
        <f t="shared" si="18"/>
        <v>63.9</v>
      </c>
      <c r="V17" s="1"/>
      <c r="W17" s="1">
        <f t="shared" si="19"/>
        <v>1727.73</v>
      </c>
      <c r="X17" s="1">
        <f t="shared" si="20"/>
        <v>125.64000000000001</v>
      </c>
      <c r="Y17" s="1">
        <f t="shared" si="21"/>
        <v>32.040000000000006</v>
      </c>
      <c r="Z17" s="1">
        <f t="shared" si="22"/>
        <v>19.169999999999998</v>
      </c>
      <c r="AA17" s="1"/>
      <c r="AB17" s="9" t="s">
        <v>40</v>
      </c>
      <c r="AC17" s="10"/>
      <c r="AD17" s="1"/>
    </row>
    <row r="18" spans="1:30" ht="15.75" customHeight="1" x14ac:dyDescent="0.15">
      <c r="A18" s="4" t="s">
        <v>22</v>
      </c>
      <c r="B18" s="1">
        <f t="shared" ref="B18:E18" si="26">B7*$H$3</f>
        <v>11671.2</v>
      </c>
      <c r="C18" s="1">
        <f t="shared" si="26"/>
        <v>2147.4</v>
      </c>
      <c r="D18" s="1">
        <f t="shared" si="26"/>
        <v>1474.2</v>
      </c>
      <c r="E18" s="1">
        <f t="shared" si="26"/>
        <v>183.6</v>
      </c>
      <c r="F18" s="1">
        <v>106</v>
      </c>
      <c r="G18" s="1"/>
      <c r="H18" s="1">
        <f t="shared" si="7"/>
        <v>1167.1200000000001</v>
      </c>
      <c r="I18" s="1">
        <f t="shared" si="8"/>
        <v>214.74</v>
      </c>
      <c r="J18" s="1">
        <f t="shared" si="9"/>
        <v>147.42000000000002</v>
      </c>
      <c r="K18" s="1">
        <f t="shared" si="10"/>
        <v>9.18</v>
      </c>
      <c r="L18" s="1"/>
      <c r="M18" s="1">
        <f t="shared" si="11"/>
        <v>4084.92</v>
      </c>
      <c r="N18" s="1">
        <f t="shared" si="12"/>
        <v>751.59</v>
      </c>
      <c r="O18" s="1">
        <f t="shared" si="13"/>
        <v>737.1</v>
      </c>
      <c r="P18" s="1">
        <f t="shared" si="14"/>
        <v>55.08</v>
      </c>
      <c r="Q18" s="1"/>
      <c r="R18" s="1">
        <f t="shared" si="15"/>
        <v>4668.4800000000005</v>
      </c>
      <c r="S18" s="1">
        <f t="shared" si="16"/>
        <v>966.33</v>
      </c>
      <c r="T18" s="1">
        <f t="shared" si="17"/>
        <v>515.97</v>
      </c>
      <c r="U18" s="1">
        <f t="shared" si="18"/>
        <v>91.8</v>
      </c>
      <c r="V18" s="1"/>
      <c r="W18" s="1">
        <f t="shared" si="19"/>
        <v>1750.68</v>
      </c>
      <c r="X18" s="1">
        <f t="shared" si="20"/>
        <v>214.74</v>
      </c>
      <c r="Y18" s="1">
        <f t="shared" si="21"/>
        <v>73.710000000000008</v>
      </c>
      <c r="Z18" s="1">
        <f t="shared" si="22"/>
        <v>27.54</v>
      </c>
      <c r="AA18" s="1"/>
      <c r="AB18" s="1" t="s">
        <v>36</v>
      </c>
      <c r="AC18" s="1">
        <v>60</v>
      </c>
      <c r="AD18" s="1"/>
    </row>
    <row r="19" spans="1:30" ht="15.75" customHeight="1" x14ac:dyDescent="0.15">
      <c r="A19" s="4" t="s">
        <v>24</v>
      </c>
      <c r="B19" s="1">
        <f t="shared" ref="B19:E19" si="27">B8*$H$3</f>
        <v>10900.800000000001</v>
      </c>
      <c r="C19" s="1">
        <f t="shared" si="27"/>
        <v>1189.8</v>
      </c>
      <c r="D19" s="1">
        <f t="shared" si="27"/>
        <v>484.2</v>
      </c>
      <c r="E19" s="1">
        <f t="shared" si="27"/>
        <v>156.6</v>
      </c>
      <c r="F19" s="1">
        <v>95</v>
      </c>
      <c r="G19" s="1"/>
      <c r="H19" s="1">
        <f t="shared" si="7"/>
        <v>1090.0800000000002</v>
      </c>
      <c r="I19" s="1">
        <f t="shared" si="8"/>
        <v>118.98</v>
      </c>
      <c r="J19" s="1">
        <f t="shared" si="9"/>
        <v>48.42</v>
      </c>
      <c r="K19" s="1">
        <f t="shared" si="10"/>
        <v>7.83</v>
      </c>
      <c r="L19" s="1"/>
      <c r="M19" s="1">
        <f t="shared" si="11"/>
        <v>3815.28</v>
      </c>
      <c r="N19" s="1">
        <f t="shared" si="12"/>
        <v>416.42999999999995</v>
      </c>
      <c r="O19" s="1">
        <f t="shared" si="13"/>
        <v>242.1</v>
      </c>
      <c r="P19" s="1">
        <f t="shared" si="14"/>
        <v>46.98</v>
      </c>
      <c r="Q19" s="1"/>
      <c r="R19" s="1">
        <f t="shared" si="15"/>
        <v>4360.3200000000006</v>
      </c>
      <c r="S19" s="1">
        <f t="shared" si="16"/>
        <v>535.41</v>
      </c>
      <c r="T19" s="1">
        <f t="shared" si="17"/>
        <v>169.47</v>
      </c>
      <c r="U19" s="1">
        <f t="shared" si="18"/>
        <v>78.3</v>
      </c>
      <c r="V19" s="1"/>
      <c r="W19" s="1">
        <f t="shared" si="19"/>
        <v>1635.1200000000001</v>
      </c>
      <c r="X19" s="1">
        <f t="shared" si="20"/>
        <v>118.98</v>
      </c>
      <c r="Y19" s="1">
        <f t="shared" si="21"/>
        <v>24.21</v>
      </c>
      <c r="Z19" s="1">
        <f t="shared" si="22"/>
        <v>23.49</v>
      </c>
      <c r="AA19" s="1"/>
      <c r="AB19" s="1" t="s">
        <v>37</v>
      </c>
      <c r="AC19" s="1">
        <v>75</v>
      </c>
      <c r="AD19" s="1"/>
    </row>
    <row r="20" spans="1:30" ht="15.75" customHeight="1" x14ac:dyDescent="0.15">
      <c r="A20" s="4" t="s">
        <v>26</v>
      </c>
      <c r="B20" s="1">
        <f t="shared" ref="B20:E20" si="28">B9*$H$3</f>
        <v>12162.6</v>
      </c>
      <c r="C20" s="1">
        <f t="shared" si="28"/>
        <v>1935</v>
      </c>
      <c r="D20" s="1">
        <f t="shared" si="28"/>
        <v>1319.4</v>
      </c>
      <c r="E20" s="1">
        <f t="shared" si="28"/>
        <v>203.4</v>
      </c>
      <c r="F20" s="1">
        <v>112</v>
      </c>
      <c r="G20" s="1"/>
      <c r="H20" s="1">
        <f t="shared" si="7"/>
        <v>1216.26</v>
      </c>
      <c r="I20" s="1">
        <f t="shared" si="8"/>
        <v>193.5</v>
      </c>
      <c r="J20" s="1">
        <f t="shared" si="9"/>
        <v>131.94000000000003</v>
      </c>
      <c r="K20" s="1">
        <f t="shared" si="10"/>
        <v>10.170000000000002</v>
      </c>
      <c r="L20" s="1"/>
      <c r="M20" s="1">
        <f t="shared" si="11"/>
        <v>4256.91</v>
      </c>
      <c r="N20" s="1">
        <f t="shared" si="12"/>
        <v>677.25</v>
      </c>
      <c r="O20" s="1">
        <f t="shared" si="13"/>
        <v>659.7</v>
      </c>
      <c r="P20" s="1">
        <f t="shared" si="14"/>
        <v>61.019999999999996</v>
      </c>
      <c r="Q20" s="1"/>
      <c r="R20" s="1">
        <f t="shared" si="15"/>
        <v>4865.04</v>
      </c>
      <c r="S20" s="1">
        <f t="shared" si="16"/>
        <v>870.75</v>
      </c>
      <c r="T20" s="1">
        <f t="shared" si="17"/>
        <v>461.79</v>
      </c>
      <c r="U20" s="1">
        <f t="shared" si="18"/>
        <v>101.7</v>
      </c>
      <c r="V20" s="1"/>
      <c r="W20" s="1">
        <f t="shared" si="19"/>
        <v>1824.39</v>
      </c>
      <c r="X20" s="1">
        <f t="shared" si="20"/>
        <v>193.5</v>
      </c>
      <c r="Y20" s="1">
        <f t="shared" si="21"/>
        <v>65.970000000000013</v>
      </c>
      <c r="Z20" s="1">
        <f t="shared" si="22"/>
        <v>30.509999999999998</v>
      </c>
      <c r="AA20" s="1"/>
      <c r="AB20" s="1" t="s">
        <v>38</v>
      </c>
      <c r="AC20" s="1">
        <v>80</v>
      </c>
      <c r="AD20" s="1"/>
    </row>
    <row r="21" spans="1:30" ht="15.75" customHeight="1" x14ac:dyDescent="0.15">
      <c r="A21" s="4" t="s">
        <v>28</v>
      </c>
      <c r="B21" s="1">
        <f t="shared" ref="B21:E21" si="29">B10*$H$3</f>
        <v>13293</v>
      </c>
      <c r="C21" s="1">
        <f t="shared" si="29"/>
        <v>2323.8000000000002</v>
      </c>
      <c r="D21" s="1">
        <f t="shared" si="29"/>
        <v>1861.2</v>
      </c>
      <c r="E21" s="1">
        <f t="shared" si="29"/>
        <v>189</v>
      </c>
      <c r="F21" s="1">
        <v>130</v>
      </c>
      <c r="G21" s="1"/>
      <c r="H21" s="1">
        <f t="shared" si="7"/>
        <v>1329.3000000000002</v>
      </c>
      <c r="I21" s="1">
        <f t="shared" si="8"/>
        <v>232.38000000000002</v>
      </c>
      <c r="J21" s="1">
        <f t="shared" si="9"/>
        <v>186.12</v>
      </c>
      <c r="K21" s="1">
        <f t="shared" si="10"/>
        <v>9.4500000000000011</v>
      </c>
      <c r="L21" s="1"/>
      <c r="M21" s="1">
        <f t="shared" si="11"/>
        <v>4652.5499999999993</v>
      </c>
      <c r="N21" s="1">
        <f t="shared" si="12"/>
        <v>813.33</v>
      </c>
      <c r="O21" s="1">
        <f t="shared" si="13"/>
        <v>930.6</v>
      </c>
      <c r="P21" s="1">
        <f t="shared" si="14"/>
        <v>56.699999999999996</v>
      </c>
      <c r="Q21" s="1"/>
      <c r="R21" s="1">
        <f t="shared" si="15"/>
        <v>5317.2000000000007</v>
      </c>
      <c r="S21" s="1">
        <f t="shared" si="16"/>
        <v>1045.71</v>
      </c>
      <c r="T21" s="1">
        <f t="shared" si="17"/>
        <v>651.41999999999996</v>
      </c>
      <c r="U21" s="1">
        <f t="shared" si="18"/>
        <v>94.5</v>
      </c>
      <c r="V21" s="1"/>
      <c r="W21" s="1">
        <f t="shared" si="19"/>
        <v>1993.9499999999998</v>
      </c>
      <c r="X21" s="1">
        <f t="shared" si="20"/>
        <v>232.38000000000002</v>
      </c>
      <c r="Y21" s="1">
        <f t="shared" si="21"/>
        <v>93.06</v>
      </c>
      <c r="Z21" s="1">
        <f t="shared" si="22"/>
        <v>28.349999999999998</v>
      </c>
      <c r="AA21" s="1"/>
      <c r="AB21" s="1" t="s">
        <v>39</v>
      </c>
      <c r="AC21" s="1">
        <v>60</v>
      </c>
      <c r="AD21" s="1"/>
    </row>
    <row r="22" spans="1:30" ht="15.75" customHeight="1" x14ac:dyDescent="0.15">
      <c r="A22" s="4" t="s">
        <v>30</v>
      </c>
      <c r="B22" s="1">
        <f t="shared" ref="B22:E22" si="30">B11*$H$3</f>
        <v>12834</v>
      </c>
      <c r="C22" s="1">
        <f t="shared" si="30"/>
        <v>1971</v>
      </c>
      <c r="D22" s="1">
        <f t="shared" si="30"/>
        <v>1450.8</v>
      </c>
      <c r="E22" s="1">
        <f t="shared" si="30"/>
        <v>167.4</v>
      </c>
      <c r="F22" s="1">
        <v>121</v>
      </c>
      <c r="G22" s="1"/>
      <c r="H22" s="1">
        <f t="shared" si="7"/>
        <v>1283.4000000000001</v>
      </c>
      <c r="I22" s="1">
        <f t="shared" si="8"/>
        <v>197.10000000000002</v>
      </c>
      <c r="J22" s="1">
        <f t="shared" si="9"/>
        <v>145.08000000000001</v>
      </c>
      <c r="K22" s="1">
        <f t="shared" si="10"/>
        <v>8.370000000000001</v>
      </c>
      <c r="L22" s="1"/>
      <c r="M22" s="1">
        <f t="shared" si="11"/>
        <v>4491.8999999999996</v>
      </c>
      <c r="N22" s="1">
        <f t="shared" si="12"/>
        <v>689.84999999999991</v>
      </c>
      <c r="O22" s="1">
        <f t="shared" si="13"/>
        <v>725.4</v>
      </c>
      <c r="P22" s="1">
        <f t="shared" si="14"/>
        <v>50.22</v>
      </c>
      <c r="Q22" s="1"/>
      <c r="R22" s="1">
        <f t="shared" si="15"/>
        <v>5133.6000000000004</v>
      </c>
      <c r="S22" s="1">
        <f t="shared" si="16"/>
        <v>886.95</v>
      </c>
      <c r="T22" s="1">
        <f t="shared" si="17"/>
        <v>507.78</v>
      </c>
      <c r="U22" s="1">
        <f t="shared" si="18"/>
        <v>83.7</v>
      </c>
      <c r="V22" s="1"/>
      <c r="W22" s="1">
        <f t="shared" si="19"/>
        <v>1925.1</v>
      </c>
      <c r="X22" s="1">
        <f t="shared" si="20"/>
        <v>197.10000000000002</v>
      </c>
      <c r="Y22" s="1">
        <f t="shared" si="21"/>
        <v>72.540000000000006</v>
      </c>
      <c r="Z22" s="1">
        <f t="shared" si="22"/>
        <v>25.11</v>
      </c>
      <c r="AA22" s="1"/>
      <c r="AB22" s="1"/>
      <c r="AC22" s="2">
        <f>SUM(AC18:AC21)</f>
        <v>275</v>
      </c>
      <c r="AD22" s="1"/>
    </row>
    <row r="23" spans="1:30" ht="15.75" customHeight="1" x14ac:dyDescent="0.15">
      <c r="A23" s="1"/>
      <c r="B23" s="1"/>
      <c r="C23" s="1"/>
      <c r="D23" s="1"/>
      <c r="E23" s="1"/>
      <c r="F23" s="1"/>
      <c r="G23" s="1"/>
      <c r="H23" s="1">
        <v>0.15</v>
      </c>
      <c r="I23" s="1">
        <v>0.1</v>
      </c>
      <c r="J23" s="1">
        <v>0.1</v>
      </c>
      <c r="K23" s="1">
        <v>0.1</v>
      </c>
      <c r="L23" s="1"/>
      <c r="M23" s="1">
        <v>0.35</v>
      </c>
      <c r="N23" s="1">
        <v>0.35</v>
      </c>
      <c r="O23" s="1">
        <v>0.5</v>
      </c>
      <c r="P23" s="1">
        <v>0.3</v>
      </c>
      <c r="Q23" s="1"/>
      <c r="R23" s="1">
        <v>0.4</v>
      </c>
      <c r="S23" s="1">
        <v>0.45</v>
      </c>
      <c r="T23" s="1">
        <v>0.35</v>
      </c>
      <c r="U23" s="1">
        <v>0.5</v>
      </c>
      <c r="V23" s="1"/>
      <c r="W23" s="1">
        <v>0.1</v>
      </c>
      <c r="X23" s="1">
        <v>0.1</v>
      </c>
      <c r="Y23" s="1">
        <v>0.05</v>
      </c>
      <c r="Z23" s="1">
        <v>0.1</v>
      </c>
      <c r="AA23" s="1"/>
      <c r="AB23" s="9" t="s">
        <v>41</v>
      </c>
      <c r="AC23" s="10"/>
      <c r="AD23" s="1"/>
    </row>
    <row r="24" spans="1:30" ht="15.75" customHeight="1" x14ac:dyDescent="0.15">
      <c r="A24" s="11" t="s">
        <v>9</v>
      </c>
      <c r="B24" s="12"/>
      <c r="C24" s="12"/>
      <c r="D24" s="12"/>
      <c r="E24" s="12"/>
      <c r="F24" s="10"/>
      <c r="G24" s="1"/>
      <c r="H24" s="11" t="s">
        <v>42</v>
      </c>
      <c r="I24" s="12"/>
      <c r="J24" s="12"/>
      <c r="K24" s="10"/>
      <c r="L24" s="1"/>
      <c r="M24" s="11" t="s">
        <v>43</v>
      </c>
      <c r="N24" s="12"/>
      <c r="O24" s="12"/>
      <c r="P24" s="10"/>
      <c r="Q24" s="1"/>
      <c r="R24" s="11" t="s">
        <v>44</v>
      </c>
      <c r="S24" s="12"/>
      <c r="T24" s="12"/>
      <c r="U24" s="10"/>
      <c r="V24" s="1"/>
      <c r="W24" s="11" t="s">
        <v>35</v>
      </c>
      <c r="X24" s="12"/>
      <c r="Y24" s="12"/>
      <c r="Z24" s="10"/>
      <c r="AA24" s="1"/>
      <c r="AB24" s="1" t="s">
        <v>36</v>
      </c>
      <c r="AC24" s="1">
        <v>60</v>
      </c>
      <c r="AD24" s="1"/>
    </row>
    <row r="25" spans="1:30" ht="15.75" customHeight="1" x14ac:dyDescent="0.15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  <c r="G25" s="1"/>
      <c r="H25" s="3" t="s">
        <v>3</v>
      </c>
      <c r="I25" s="3" t="s">
        <v>4</v>
      </c>
      <c r="J25" s="3" t="s">
        <v>5</v>
      </c>
      <c r="K25" s="3" t="s">
        <v>6</v>
      </c>
      <c r="L25" s="1"/>
      <c r="M25" s="3" t="s">
        <v>3</v>
      </c>
      <c r="N25" s="3" t="s">
        <v>4</v>
      </c>
      <c r="O25" s="3" t="s">
        <v>5</v>
      </c>
      <c r="P25" s="3" t="s">
        <v>6</v>
      </c>
      <c r="Q25" s="1"/>
      <c r="R25" s="3" t="s">
        <v>3</v>
      </c>
      <c r="S25" s="3" t="s">
        <v>4</v>
      </c>
      <c r="T25" s="3" t="s">
        <v>5</v>
      </c>
      <c r="U25" s="3" t="s">
        <v>6</v>
      </c>
      <c r="V25" s="1"/>
      <c r="W25" s="3" t="s">
        <v>3</v>
      </c>
      <c r="X25" s="3" t="s">
        <v>4</v>
      </c>
      <c r="Y25" s="3" t="s">
        <v>5</v>
      </c>
      <c r="Z25" s="3" t="s">
        <v>6</v>
      </c>
      <c r="AA25" s="1"/>
      <c r="AB25" s="1" t="s">
        <v>37</v>
      </c>
      <c r="AC25" s="1">
        <v>80</v>
      </c>
      <c r="AD25" s="1"/>
    </row>
    <row r="26" spans="1:30" ht="15.75" customHeight="1" x14ac:dyDescent="0.15">
      <c r="A26" s="4" t="s">
        <v>14</v>
      </c>
      <c r="B26" s="1">
        <f t="shared" ref="B26:E26" si="31">B3*$I$3</f>
        <v>12377.2</v>
      </c>
      <c r="C26" s="1">
        <f t="shared" si="31"/>
        <v>860.2</v>
      </c>
      <c r="D26" s="1">
        <f t="shared" si="31"/>
        <v>220.00000000000003</v>
      </c>
      <c r="E26" s="1">
        <f t="shared" si="31"/>
        <v>68.2</v>
      </c>
      <c r="F26" s="1">
        <v>85</v>
      </c>
      <c r="G26" s="1"/>
      <c r="H26" s="1">
        <f t="shared" ref="H26:H34" si="32">B26*$H$23</f>
        <v>1856.58</v>
      </c>
      <c r="I26" s="1">
        <f t="shared" ref="I26:I34" si="33">C26*$I$23</f>
        <v>86.02000000000001</v>
      </c>
      <c r="J26" s="1">
        <f t="shared" ref="J26:J34" si="34">D26*$J$23</f>
        <v>22.000000000000004</v>
      </c>
      <c r="K26" s="1">
        <f t="shared" ref="K26:K34" si="35">E26*$K$23</f>
        <v>6.82</v>
      </c>
      <c r="L26" s="1"/>
      <c r="M26" s="1">
        <f t="shared" ref="M26:M34" si="36">B26*$M$23</f>
        <v>4332.0199999999995</v>
      </c>
      <c r="N26" s="1">
        <f t="shared" ref="N26:N34" si="37">C26*$N$23</f>
        <v>301.07</v>
      </c>
      <c r="O26" s="1">
        <f t="shared" ref="O26:O34" si="38">D26*$O$23</f>
        <v>110.00000000000001</v>
      </c>
      <c r="P26" s="1">
        <f t="shared" ref="P26:P34" si="39">E26*$P$23</f>
        <v>20.46</v>
      </c>
      <c r="Q26" s="1"/>
      <c r="R26" s="1">
        <f t="shared" ref="R26:R34" si="40">B26*$R$23</f>
        <v>4950.880000000001</v>
      </c>
      <c r="S26" s="1">
        <f t="shared" ref="S26:S34" si="41">C26*$S$23</f>
        <v>387.09000000000003</v>
      </c>
      <c r="T26" s="1">
        <f t="shared" ref="T26:T34" si="42">D26*$T$23</f>
        <v>77</v>
      </c>
      <c r="U26" s="1">
        <f t="shared" ref="U26:U34" si="43">E26*$U$23</f>
        <v>34.1</v>
      </c>
      <c r="V26" s="1"/>
      <c r="W26" s="1">
        <f t="shared" ref="W26:W34" si="44">B26*$W$23</f>
        <v>1237.7200000000003</v>
      </c>
      <c r="X26" s="1">
        <f t="shared" ref="X26:X34" si="45">C26*$X$23</f>
        <v>86.02000000000001</v>
      </c>
      <c r="Y26" s="1">
        <f t="shared" ref="Y26:Y34" si="46">D26*$Y$23</f>
        <v>11.000000000000002</v>
      </c>
      <c r="Z26" s="1">
        <f t="shared" ref="Z26:Z34" si="47">E26*$Z$23</f>
        <v>6.82</v>
      </c>
      <c r="AA26" s="1"/>
      <c r="AB26" s="1" t="s">
        <v>38</v>
      </c>
      <c r="AC26" s="1">
        <v>85</v>
      </c>
      <c r="AD26" s="1"/>
    </row>
    <row r="27" spans="1:30" ht="15.75" customHeight="1" x14ac:dyDescent="0.15">
      <c r="A27" s="4" t="s">
        <v>15</v>
      </c>
      <c r="B27" s="1">
        <f t="shared" ref="B27:E27" si="48">B4*$I$3</f>
        <v>12071.400000000001</v>
      </c>
      <c r="C27" s="1">
        <f t="shared" si="48"/>
        <v>800.80000000000007</v>
      </c>
      <c r="D27" s="1">
        <f t="shared" si="48"/>
        <v>308</v>
      </c>
      <c r="E27" s="1">
        <f t="shared" si="48"/>
        <v>66</v>
      </c>
      <c r="F27" s="1">
        <v>81</v>
      </c>
      <c r="G27" s="1"/>
      <c r="H27" s="1">
        <f t="shared" si="32"/>
        <v>1810.7100000000003</v>
      </c>
      <c r="I27" s="1">
        <f t="shared" si="33"/>
        <v>80.080000000000013</v>
      </c>
      <c r="J27" s="1">
        <f t="shared" si="34"/>
        <v>30.8</v>
      </c>
      <c r="K27" s="1">
        <f t="shared" si="35"/>
        <v>6.6000000000000005</v>
      </c>
      <c r="L27" s="1"/>
      <c r="M27" s="1">
        <f t="shared" si="36"/>
        <v>4224.9900000000007</v>
      </c>
      <c r="N27" s="1">
        <f t="shared" si="37"/>
        <v>280.28000000000003</v>
      </c>
      <c r="O27" s="1">
        <f t="shared" si="38"/>
        <v>154</v>
      </c>
      <c r="P27" s="1">
        <f t="shared" si="39"/>
        <v>19.8</v>
      </c>
      <c r="Q27" s="1"/>
      <c r="R27" s="1">
        <f t="shared" si="40"/>
        <v>4828.5600000000004</v>
      </c>
      <c r="S27" s="1">
        <f t="shared" si="41"/>
        <v>360.36</v>
      </c>
      <c r="T27" s="1">
        <f t="shared" si="42"/>
        <v>107.8</v>
      </c>
      <c r="U27" s="1">
        <f t="shared" si="43"/>
        <v>33</v>
      </c>
      <c r="V27" s="1"/>
      <c r="W27" s="1">
        <f t="shared" si="44"/>
        <v>1207.1400000000001</v>
      </c>
      <c r="X27" s="1">
        <f t="shared" si="45"/>
        <v>80.080000000000013</v>
      </c>
      <c r="Y27" s="1">
        <f t="shared" si="46"/>
        <v>15.4</v>
      </c>
      <c r="Z27" s="1">
        <f t="shared" si="47"/>
        <v>6.6000000000000005</v>
      </c>
      <c r="AA27" s="1"/>
      <c r="AB27" s="1" t="s">
        <v>45</v>
      </c>
      <c r="AC27" s="1">
        <v>70</v>
      </c>
      <c r="AD27" s="1"/>
    </row>
    <row r="28" spans="1:30" ht="15.75" customHeight="1" x14ac:dyDescent="0.15">
      <c r="A28" s="4" t="s">
        <v>18</v>
      </c>
      <c r="B28" s="1">
        <f t="shared" ref="B28:E28" si="49">B5*$I$3</f>
        <v>13879.800000000001</v>
      </c>
      <c r="C28" s="1">
        <f t="shared" si="49"/>
        <v>1238.6000000000001</v>
      </c>
      <c r="D28" s="1">
        <f t="shared" si="49"/>
        <v>624.80000000000007</v>
      </c>
      <c r="E28" s="1">
        <f t="shared" si="49"/>
        <v>116.60000000000001</v>
      </c>
      <c r="F28" s="1">
        <v>103</v>
      </c>
      <c r="G28" s="1"/>
      <c r="H28" s="1">
        <f t="shared" si="32"/>
        <v>2081.9700000000003</v>
      </c>
      <c r="I28" s="1">
        <f t="shared" si="33"/>
        <v>123.86000000000001</v>
      </c>
      <c r="J28" s="1">
        <f t="shared" si="34"/>
        <v>62.480000000000011</v>
      </c>
      <c r="K28" s="1">
        <f t="shared" si="35"/>
        <v>11.660000000000002</v>
      </c>
      <c r="L28" s="1"/>
      <c r="M28" s="1">
        <f t="shared" si="36"/>
        <v>4857.93</v>
      </c>
      <c r="N28" s="1">
        <f t="shared" si="37"/>
        <v>433.51000000000005</v>
      </c>
      <c r="O28" s="1">
        <f t="shared" si="38"/>
        <v>312.40000000000003</v>
      </c>
      <c r="P28" s="1">
        <f t="shared" si="39"/>
        <v>34.980000000000004</v>
      </c>
      <c r="Q28" s="1"/>
      <c r="R28" s="1">
        <f t="shared" si="40"/>
        <v>5551.920000000001</v>
      </c>
      <c r="S28" s="1">
        <f t="shared" si="41"/>
        <v>557.37000000000012</v>
      </c>
      <c r="T28" s="1">
        <f t="shared" si="42"/>
        <v>218.68</v>
      </c>
      <c r="U28" s="1">
        <f t="shared" si="43"/>
        <v>58.300000000000004</v>
      </c>
      <c r="V28" s="1"/>
      <c r="W28" s="1">
        <f t="shared" si="44"/>
        <v>1387.9800000000002</v>
      </c>
      <c r="X28" s="1">
        <f t="shared" si="45"/>
        <v>123.86000000000001</v>
      </c>
      <c r="Y28" s="1">
        <f t="shared" si="46"/>
        <v>31.240000000000006</v>
      </c>
      <c r="Z28" s="1">
        <f t="shared" si="47"/>
        <v>11.660000000000002</v>
      </c>
      <c r="AA28" s="1"/>
      <c r="AB28" s="1"/>
      <c r="AC28" s="2">
        <f>SUM(AC24:AC27)</f>
        <v>295</v>
      </c>
      <c r="AD28" s="1"/>
    </row>
    <row r="29" spans="1:30" ht="15.75" customHeight="1" x14ac:dyDescent="0.15">
      <c r="A29" s="4" t="s">
        <v>20</v>
      </c>
      <c r="B29" s="1">
        <f t="shared" ref="B29:E29" si="50">B6*$I$3</f>
        <v>14077.800000000001</v>
      </c>
      <c r="C29" s="1">
        <f t="shared" si="50"/>
        <v>1535.6000000000001</v>
      </c>
      <c r="D29" s="1">
        <f t="shared" si="50"/>
        <v>783.2</v>
      </c>
      <c r="E29" s="1">
        <f t="shared" si="50"/>
        <v>156.20000000000002</v>
      </c>
      <c r="F29" s="1">
        <v>106</v>
      </c>
      <c r="G29" s="1"/>
      <c r="H29" s="1">
        <f t="shared" si="32"/>
        <v>2111.67</v>
      </c>
      <c r="I29" s="1">
        <f t="shared" si="33"/>
        <v>153.56000000000003</v>
      </c>
      <c r="J29" s="1">
        <f t="shared" si="34"/>
        <v>78.320000000000007</v>
      </c>
      <c r="K29" s="1">
        <f t="shared" si="35"/>
        <v>15.620000000000003</v>
      </c>
      <c r="L29" s="1"/>
      <c r="M29" s="1">
        <f t="shared" si="36"/>
        <v>4927.2300000000005</v>
      </c>
      <c r="N29" s="1">
        <f t="shared" si="37"/>
        <v>537.46</v>
      </c>
      <c r="O29" s="1">
        <f t="shared" si="38"/>
        <v>391.6</v>
      </c>
      <c r="P29" s="1">
        <f t="shared" si="39"/>
        <v>46.860000000000007</v>
      </c>
      <c r="Q29" s="1"/>
      <c r="R29" s="1">
        <f t="shared" si="40"/>
        <v>5631.1200000000008</v>
      </c>
      <c r="S29" s="1">
        <f t="shared" si="41"/>
        <v>691.0200000000001</v>
      </c>
      <c r="T29" s="1">
        <f t="shared" si="42"/>
        <v>274.12</v>
      </c>
      <c r="U29" s="1">
        <f t="shared" si="43"/>
        <v>78.100000000000009</v>
      </c>
      <c r="V29" s="1"/>
      <c r="W29" s="1">
        <f t="shared" si="44"/>
        <v>1407.7800000000002</v>
      </c>
      <c r="X29" s="1">
        <f t="shared" si="45"/>
        <v>153.56000000000003</v>
      </c>
      <c r="Y29" s="1">
        <f t="shared" si="46"/>
        <v>39.160000000000004</v>
      </c>
      <c r="Z29" s="1">
        <f t="shared" si="47"/>
        <v>15.620000000000003</v>
      </c>
      <c r="AA29" s="1"/>
      <c r="AB29" s="9" t="s">
        <v>46</v>
      </c>
      <c r="AC29" s="10"/>
      <c r="AD29" s="1"/>
    </row>
    <row r="30" spans="1:30" ht="15.75" customHeight="1" x14ac:dyDescent="0.15">
      <c r="A30" s="4" t="s">
        <v>22</v>
      </c>
      <c r="B30" s="1">
        <f t="shared" ref="B30:E30" si="51">B7*$I$3</f>
        <v>14264.800000000001</v>
      </c>
      <c r="C30" s="1">
        <f t="shared" si="51"/>
        <v>2624.6000000000004</v>
      </c>
      <c r="D30" s="1">
        <f t="shared" si="51"/>
        <v>1801.8000000000002</v>
      </c>
      <c r="E30" s="1">
        <f t="shared" si="51"/>
        <v>224.4</v>
      </c>
      <c r="F30" s="1">
        <v>106</v>
      </c>
      <c r="G30" s="1"/>
      <c r="H30" s="1">
        <f t="shared" si="32"/>
        <v>2139.7200000000003</v>
      </c>
      <c r="I30" s="1">
        <f t="shared" si="33"/>
        <v>262.46000000000004</v>
      </c>
      <c r="J30" s="1">
        <f t="shared" si="34"/>
        <v>180.18000000000004</v>
      </c>
      <c r="K30" s="1">
        <f t="shared" si="35"/>
        <v>22.44</v>
      </c>
      <c r="L30" s="1"/>
      <c r="M30" s="1">
        <f t="shared" si="36"/>
        <v>4992.68</v>
      </c>
      <c r="N30" s="1">
        <f t="shared" si="37"/>
        <v>918.61</v>
      </c>
      <c r="O30" s="1">
        <f t="shared" si="38"/>
        <v>900.90000000000009</v>
      </c>
      <c r="P30" s="1">
        <f t="shared" si="39"/>
        <v>67.319999999999993</v>
      </c>
      <c r="Q30" s="1"/>
      <c r="R30" s="1">
        <f t="shared" si="40"/>
        <v>5705.920000000001</v>
      </c>
      <c r="S30" s="1">
        <f t="shared" si="41"/>
        <v>1181.0700000000002</v>
      </c>
      <c r="T30" s="1">
        <f t="shared" si="42"/>
        <v>630.63</v>
      </c>
      <c r="U30" s="1">
        <f t="shared" si="43"/>
        <v>112.2</v>
      </c>
      <c r="V30" s="1"/>
      <c r="W30" s="1">
        <f t="shared" si="44"/>
        <v>1426.4800000000002</v>
      </c>
      <c r="X30" s="1">
        <f t="shared" si="45"/>
        <v>262.46000000000004</v>
      </c>
      <c r="Y30" s="1">
        <f t="shared" si="46"/>
        <v>90.090000000000018</v>
      </c>
      <c r="Z30" s="1">
        <f t="shared" si="47"/>
        <v>22.44</v>
      </c>
      <c r="AA30" s="1"/>
      <c r="AB30" s="1" t="s">
        <v>36</v>
      </c>
      <c r="AC30" s="1">
        <v>45</v>
      </c>
      <c r="AD30" s="1"/>
    </row>
    <row r="31" spans="1:30" ht="15.75" customHeight="1" x14ac:dyDescent="0.15">
      <c r="A31" s="4" t="s">
        <v>24</v>
      </c>
      <c r="B31" s="1">
        <f t="shared" ref="B31:E31" si="52">B8*$I$3</f>
        <v>13323.2</v>
      </c>
      <c r="C31" s="1">
        <f t="shared" si="52"/>
        <v>1454.2</v>
      </c>
      <c r="D31" s="1">
        <f t="shared" si="52"/>
        <v>591.80000000000007</v>
      </c>
      <c r="E31" s="1">
        <f t="shared" si="52"/>
        <v>191.4</v>
      </c>
      <c r="F31" s="1">
        <v>95</v>
      </c>
      <c r="G31" s="1"/>
      <c r="H31" s="1">
        <f t="shared" si="32"/>
        <v>1998.48</v>
      </c>
      <c r="I31" s="1">
        <f t="shared" si="33"/>
        <v>145.42000000000002</v>
      </c>
      <c r="J31" s="1">
        <f t="shared" si="34"/>
        <v>59.180000000000007</v>
      </c>
      <c r="K31" s="1">
        <f t="shared" si="35"/>
        <v>19.14</v>
      </c>
      <c r="L31" s="1"/>
      <c r="M31" s="1">
        <f t="shared" si="36"/>
        <v>4663.12</v>
      </c>
      <c r="N31" s="1">
        <f t="shared" si="37"/>
        <v>508.96999999999997</v>
      </c>
      <c r="O31" s="1">
        <f t="shared" si="38"/>
        <v>295.90000000000003</v>
      </c>
      <c r="P31" s="1">
        <f t="shared" si="39"/>
        <v>57.42</v>
      </c>
      <c r="Q31" s="1"/>
      <c r="R31" s="1">
        <f t="shared" si="40"/>
        <v>5329.2800000000007</v>
      </c>
      <c r="S31" s="1">
        <f t="shared" si="41"/>
        <v>654.39</v>
      </c>
      <c r="T31" s="1">
        <f t="shared" si="42"/>
        <v>207.13000000000002</v>
      </c>
      <c r="U31" s="1">
        <f t="shared" si="43"/>
        <v>95.7</v>
      </c>
      <c r="V31" s="1"/>
      <c r="W31" s="1">
        <f t="shared" si="44"/>
        <v>1332.3200000000002</v>
      </c>
      <c r="X31" s="1">
        <f t="shared" si="45"/>
        <v>145.42000000000002</v>
      </c>
      <c r="Y31" s="1">
        <f t="shared" si="46"/>
        <v>29.590000000000003</v>
      </c>
      <c r="Z31" s="1">
        <f t="shared" si="47"/>
        <v>19.14</v>
      </c>
      <c r="AA31" s="1"/>
      <c r="AB31" s="1" t="s">
        <v>37</v>
      </c>
      <c r="AC31" s="1">
        <v>80</v>
      </c>
      <c r="AD31" s="1"/>
    </row>
    <row r="32" spans="1:30" ht="15.75" customHeight="1" x14ac:dyDescent="0.15">
      <c r="A32" s="4" t="s">
        <v>26</v>
      </c>
      <c r="B32" s="1">
        <f t="shared" ref="B32:E32" si="53">B9*$I$3</f>
        <v>14865.400000000001</v>
      </c>
      <c r="C32" s="1">
        <f t="shared" si="53"/>
        <v>2365</v>
      </c>
      <c r="D32" s="1">
        <f t="shared" si="53"/>
        <v>1612.6000000000001</v>
      </c>
      <c r="E32" s="1">
        <f t="shared" si="53"/>
        <v>248.60000000000002</v>
      </c>
      <c r="F32" s="1">
        <v>112</v>
      </c>
      <c r="G32" s="1"/>
      <c r="H32" s="1">
        <f t="shared" si="32"/>
        <v>2229.81</v>
      </c>
      <c r="I32" s="1">
        <f t="shared" si="33"/>
        <v>236.5</v>
      </c>
      <c r="J32" s="1">
        <f t="shared" si="34"/>
        <v>161.26000000000002</v>
      </c>
      <c r="K32" s="1">
        <f t="shared" si="35"/>
        <v>24.860000000000003</v>
      </c>
      <c r="L32" s="1"/>
      <c r="M32" s="1">
        <f t="shared" si="36"/>
        <v>5202.8900000000003</v>
      </c>
      <c r="N32" s="1">
        <f t="shared" si="37"/>
        <v>827.75</v>
      </c>
      <c r="O32" s="1">
        <f t="shared" si="38"/>
        <v>806.30000000000007</v>
      </c>
      <c r="P32" s="1">
        <f t="shared" si="39"/>
        <v>74.58</v>
      </c>
      <c r="Q32" s="1"/>
      <c r="R32" s="1">
        <f t="shared" si="40"/>
        <v>5946.1600000000008</v>
      </c>
      <c r="S32" s="1">
        <f t="shared" si="41"/>
        <v>1064.25</v>
      </c>
      <c r="T32" s="1">
        <f t="shared" si="42"/>
        <v>564.41</v>
      </c>
      <c r="U32" s="1">
        <f t="shared" si="43"/>
        <v>124.30000000000001</v>
      </c>
      <c r="V32" s="1"/>
      <c r="W32" s="1">
        <f t="shared" si="44"/>
        <v>1486.5400000000002</v>
      </c>
      <c r="X32" s="1">
        <f t="shared" si="45"/>
        <v>236.5</v>
      </c>
      <c r="Y32" s="1">
        <f t="shared" si="46"/>
        <v>80.63000000000001</v>
      </c>
      <c r="Z32" s="1">
        <f t="shared" si="47"/>
        <v>24.860000000000003</v>
      </c>
      <c r="AA32" s="1"/>
      <c r="AB32" s="1" t="s">
        <v>38</v>
      </c>
      <c r="AC32" s="1">
        <v>85</v>
      </c>
      <c r="AD32" s="1"/>
    </row>
    <row r="33" spans="1:30" ht="15.75" customHeight="1" x14ac:dyDescent="0.15">
      <c r="A33" s="4" t="s">
        <v>28</v>
      </c>
      <c r="B33" s="1">
        <f t="shared" ref="B33:E33" si="54">B10*$I$3</f>
        <v>16247.000000000002</v>
      </c>
      <c r="C33" s="1">
        <f t="shared" si="54"/>
        <v>2840.2000000000003</v>
      </c>
      <c r="D33" s="1">
        <f t="shared" si="54"/>
        <v>2274.8000000000002</v>
      </c>
      <c r="E33" s="1">
        <f t="shared" si="54"/>
        <v>231.00000000000003</v>
      </c>
      <c r="F33" s="1">
        <v>130</v>
      </c>
      <c r="G33" s="1"/>
      <c r="H33" s="1">
        <f t="shared" si="32"/>
        <v>2437.0500000000002</v>
      </c>
      <c r="I33" s="1">
        <f t="shared" si="33"/>
        <v>284.02000000000004</v>
      </c>
      <c r="J33" s="1">
        <f t="shared" si="34"/>
        <v>227.48000000000002</v>
      </c>
      <c r="K33" s="1">
        <f t="shared" si="35"/>
        <v>23.100000000000005</v>
      </c>
      <c r="L33" s="1"/>
      <c r="M33" s="1">
        <f t="shared" si="36"/>
        <v>5686.4500000000007</v>
      </c>
      <c r="N33" s="1">
        <f t="shared" si="37"/>
        <v>994.07</v>
      </c>
      <c r="O33" s="1">
        <f t="shared" si="38"/>
        <v>1137.4000000000001</v>
      </c>
      <c r="P33" s="1">
        <f t="shared" si="39"/>
        <v>69.300000000000011</v>
      </c>
      <c r="Q33" s="1"/>
      <c r="R33" s="1">
        <f t="shared" si="40"/>
        <v>6498.8000000000011</v>
      </c>
      <c r="S33" s="1">
        <f t="shared" si="41"/>
        <v>1278.0900000000001</v>
      </c>
      <c r="T33" s="1">
        <f t="shared" si="42"/>
        <v>796.18000000000006</v>
      </c>
      <c r="U33" s="1">
        <f t="shared" si="43"/>
        <v>115.50000000000001</v>
      </c>
      <c r="V33" s="1"/>
      <c r="W33" s="1">
        <f t="shared" si="44"/>
        <v>1624.7000000000003</v>
      </c>
      <c r="X33" s="1">
        <f t="shared" si="45"/>
        <v>284.02000000000004</v>
      </c>
      <c r="Y33" s="1">
        <f t="shared" si="46"/>
        <v>113.74000000000001</v>
      </c>
      <c r="Z33" s="1">
        <f t="shared" si="47"/>
        <v>23.100000000000005</v>
      </c>
      <c r="AA33" s="1"/>
      <c r="AB33" s="1" t="s">
        <v>45</v>
      </c>
      <c r="AC33" s="1">
        <v>60</v>
      </c>
      <c r="AD33" s="1"/>
    </row>
    <row r="34" spans="1:30" ht="15.75" customHeight="1" x14ac:dyDescent="0.15">
      <c r="A34" s="4" t="s">
        <v>30</v>
      </c>
      <c r="B34" s="1">
        <f t="shared" ref="B34:E34" si="55">B11*$I$3</f>
        <v>15686.000000000002</v>
      </c>
      <c r="C34" s="1">
        <f t="shared" si="55"/>
        <v>2409</v>
      </c>
      <c r="D34" s="1">
        <f t="shared" si="55"/>
        <v>1773.2</v>
      </c>
      <c r="E34" s="1">
        <f t="shared" si="55"/>
        <v>204.60000000000002</v>
      </c>
      <c r="F34" s="1">
        <v>121</v>
      </c>
      <c r="G34" s="1"/>
      <c r="H34" s="1">
        <f t="shared" si="32"/>
        <v>2352.9</v>
      </c>
      <c r="I34" s="1">
        <f t="shared" si="33"/>
        <v>240.9</v>
      </c>
      <c r="J34" s="1">
        <f t="shared" si="34"/>
        <v>177.32000000000002</v>
      </c>
      <c r="K34" s="1">
        <f t="shared" si="35"/>
        <v>20.460000000000004</v>
      </c>
      <c r="L34" s="1"/>
      <c r="M34" s="1">
        <f t="shared" si="36"/>
        <v>5490.1</v>
      </c>
      <c r="N34" s="1">
        <f t="shared" si="37"/>
        <v>843.15</v>
      </c>
      <c r="O34" s="1">
        <f t="shared" si="38"/>
        <v>886.6</v>
      </c>
      <c r="P34" s="1">
        <f t="shared" si="39"/>
        <v>61.38</v>
      </c>
      <c r="Q34" s="1"/>
      <c r="R34" s="1">
        <f t="shared" si="40"/>
        <v>6274.4000000000015</v>
      </c>
      <c r="S34" s="1">
        <f t="shared" si="41"/>
        <v>1084.05</v>
      </c>
      <c r="T34" s="1">
        <f t="shared" si="42"/>
        <v>620.62</v>
      </c>
      <c r="U34" s="1">
        <f t="shared" si="43"/>
        <v>102.30000000000001</v>
      </c>
      <c r="V34" s="1"/>
      <c r="W34" s="1">
        <f t="shared" si="44"/>
        <v>1568.6000000000004</v>
      </c>
      <c r="X34" s="1">
        <f t="shared" si="45"/>
        <v>240.9</v>
      </c>
      <c r="Y34" s="1">
        <f t="shared" si="46"/>
        <v>88.660000000000011</v>
      </c>
      <c r="Z34" s="1">
        <f t="shared" si="47"/>
        <v>20.460000000000004</v>
      </c>
      <c r="AA34" s="1"/>
      <c r="AB34" s="1"/>
      <c r="AC34" s="2">
        <f>SUM(AC30:AC33)</f>
        <v>270</v>
      </c>
      <c r="AD34" s="1"/>
    </row>
    <row r="35" spans="1:30" ht="15.75" customHeight="1" x14ac:dyDescent="0.15">
      <c r="A35" s="2"/>
      <c r="B35" s="2"/>
      <c r="C35" s="2"/>
      <c r="D35" s="2"/>
      <c r="E35" s="2"/>
      <c r="F35" s="2"/>
      <c r="G35" s="1"/>
      <c r="H35" s="1">
        <v>0.1</v>
      </c>
      <c r="I35" s="1">
        <v>0.1</v>
      </c>
      <c r="J35" s="1">
        <v>0.1</v>
      </c>
      <c r="K35" s="1">
        <v>0.1</v>
      </c>
      <c r="L35" s="1"/>
      <c r="M35" s="1">
        <v>0.3</v>
      </c>
      <c r="N35" s="1">
        <v>0.3</v>
      </c>
      <c r="O35" s="1">
        <v>0.3</v>
      </c>
      <c r="P35" s="1">
        <v>0.25</v>
      </c>
      <c r="Q35" s="1"/>
      <c r="R35" s="1">
        <v>0.3</v>
      </c>
      <c r="S35" s="1">
        <v>0.35</v>
      </c>
      <c r="T35" s="1">
        <v>0.4</v>
      </c>
      <c r="U35" s="1">
        <v>0.35</v>
      </c>
      <c r="V35" s="1"/>
      <c r="W35" s="1">
        <v>0.3</v>
      </c>
      <c r="X35" s="1">
        <v>0.25</v>
      </c>
      <c r="Y35" s="1">
        <v>0.2</v>
      </c>
      <c r="Z35" s="1">
        <v>0.3</v>
      </c>
      <c r="AA35" s="1"/>
      <c r="AB35" s="9" t="s">
        <v>47</v>
      </c>
      <c r="AC35" s="10"/>
      <c r="AD35" s="1"/>
    </row>
    <row r="36" spans="1:30" ht="15.75" customHeight="1" x14ac:dyDescent="0.15">
      <c r="A36" s="11" t="s">
        <v>10</v>
      </c>
      <c r="B36" s="12"/>
      <c r="C36" s="12"/>
      <c r="D36" s="12"/>
      <c r="E36" s="12"/>
      <c r="F36" s="10"/>
      <c r="G36" s="1"/>
      <c r="H36" s="11" t="s">
        <v>42</v>
      </c>
      <c r="I36" s="12"/>
      <c r="J36" s="12"/>
      <c r="K36" s="10"/>
      <c r="L36" s="1"/>
      <c r="M36" s="11" t="s">
        <v>43</v>
      </c>
      <c r="N36" s="12"/>
      <c r="O36" s="12"/>
      <c r="P36" s="10"/>
      <c r="Q36" s="1"/>
      <c r="R36" s="11" t="s">
        <v>44</v>
      </c>
      <c r="S36" s="12"/>
      <c r="T36" s="12"/>
      <c r="U36" s="10"/>
      <c r="V36" s="1"/>
      <c r="W36" s="11" t="s">
        <v>48</v>
      </c>
      <c r="X36" s="12"/>
      <c r="Y36" s="12"/>
      <c r="Z36" s="10"/>
      <c r="AA36" s="1"/>
      <c r="AB36" s="1" t="s">
        <v>36</v>
      </c>
      <c r="AC36" s="1">
        <v>60</v>
      </c>
      <c r="AD36" s="1"/>
    </row>
    <row r="37" spans="1:30" ht="15.75" customHeight="1" x14ac:dyDescent="0.15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1"/>
      <c r="H37" s="3" t="s">
        <v>3</v>
      </c>
      <c r="I37" s="3" t="s">
        <v>4</v>
      </c>
      <c r="J37" s="3" t="s">
        <v>5</v>
      </c>
      <c r="K37" s="3" t="s">
        <v>6</v>
      </c>
      <c r="L37" s="1"/>
      <c r="M37" s="3" t="s">
        <v>3</v>
      </c>
      <c r="N37" s="3" t="s">
        <v>4</v>
      </c>
      <c r="O37" s="3" t="s">
        <v>5</v>
      </c>
      <c r="P37" s="3" t="s">
        <v>6</v>
      </c>
      <c r="Q37" s="1"/>
      <c r="R37" s="3" t="s">
        <v>3</v>
      </c>
      <c r="S37" s="3" t="s">
        <v>4</v>
      </c>
      <c r="T37" s="3" t="s">
        <v>5</v>
      </c>
      <c r="U37" s="3" t="s">
        <v>6</v>
      </c>
      <c r="V37" s="1"/>
      <c r="W37" s="3" t="s">
        <v>3</v>
      </c>
      <c r="X37" s="3" t="s">
        <v>4</v>
      </c>
      <c r="Y37" s="3" t="s">
        <v>5</v>
      </c>
      <c r="Z37" s="3" t="s">
        <v>6</v>
      </c>
      <c r="AA37" s="1"/>
      <c r="AB37" s="1" t="s">
        <v>37</v>
      </c>
      <c r="AC37" s="1">
        <v>85</v>
      </c>
      <c r="AD37" s="1"/>
    </row>
    <row r="38" spans="1:30" ht="15.75" customHeight="1" x14ac:dyDescent="0.15">
      <c r="A38" s="4" t="s">
        <v>14</v>
      </c>
      <c r="B38" s="1">
        <f t="shared" ref="B38:E38" si="56">B3*$J$3</f>
        <v>14627.6</v>
      </c>
      <c r="C38" s="1">
        <f t="shared" si="56"/>
        <v>1016.6</v>
      </c>
      <c r="D38" s="1">
        <f t="shared" si="56"/>
        <v>260</v>
      </c>
      <c r="E38" s="1">
        <f t="shared" si="56"/>
        <v>80.600000000000009</v>
      </c>
      <c r="F38" s="1">
        <v>85</v>
      </c>
      <c r="G38" s="1"/>
      <c r="H38" s="1">
        <f t="shared" ref="H38:H46" si="57">B38*$H$35</f>
        <v>1462.7600000000002</v>
      </c>
      <c r="I38" s="1">
        <f t="shared" ref="I38:I46" si="58">C38*$I$35</f>
        <v>101.66000000000001</v>
      </c>
      <c r="J38" s="1">
        <f t="shared" ref="J38:J46" si="59">D38*$J$35</f>
        <v>26</v>
      </c>
      <c r="K38" s="1">
        <f t="shared" ref="K38:K46" si="60">E38*$K$35</f>
        <v>8.06</v>
      </c>
      <c r="L38" s="1"/>
      <c r="M38" s="1">
        <f t="shared" ref="M38:M46" si="61">B38*$M$35</f>
        <v>4388.28</v>
      </c>
      <c r="N38" s="1">
        <f t="shared" ref="N38:N46" si="62">C38*$N$35</f>
        <v>304.98</v>
      </c>
      <c r="O38" s="1">
        <f t="shared" ref="O38:O46" si="63">D38*$O$35</f>
        <v>78</v>
      </c>
      <c r="P38" s="1">
        <f t="shared" ref="P38:P46" si="64">E38*$P$35</f>
        <v>20.150000000000002</v>
      </c>
      <c r="Q38" s="1"/>
      <c r="R38" s="1">
        <f t="shared" ref="R38:R46" si="65">B38*$R$35</f>
        <v>4388.28</v>
      </c>
      <c r="S38" s="1">
        <f t="shared" ref="S38:S46" si="66">C38*$S$35</f>
        <v>355.81</v>
      </c>
      <c r="T38" s="1">
        <f t="shared" ref="T38:T46" si="67">D38*$T$35</f>
        <v>104</v>
      </c>
      <c r="U38" s="1">
        <f t="shared" ref="U38:U46" si="68">E38*$U$35</f>
        <v>28.21</v>
      </c>
      <c r="V38" s="1"/>
      <c r="W38" s="1">
        <f t="shared" ref="W38:W46" si="69">B38*$W$35</f>
        <v>4388.28</v>
      </c>
      <c r="X38" s="1">
        <f t="shared" ref="X38:X46" si="70">C38*$X$35</f>
        <v>254.15</v>
      </c>
      <c r="Y38" s="1">
        <f t="shared" ref="Y38:Y46" si="71">D38*$Y$35</f>
        <v>52</v>
      </c>
      <c r="Z38" s="1">
        <f t="shared" ref="Z38:Z46" si="72">E38*$Z$35</f>
        <v>24.180000000000003</v>
      </c>
      <c r="AA38" s="1"/>
      <c r="AB38" s="1" t="s">
        <v>38</v>
      </c>
      <c r="AC38" s="1">
        <v>90</v>
      </c>
      <c r="AD38" s="1"/>
    </row>
    <row r="39" spans="1:30" ht="15.75" customHeight="1" x14ac:dyDescent="0.15">
      <c r="A39" s="4" t="s">
        <v>15</v>
      </c>
      <c r="B39" s="1">
        <f t="shared" ref="B39:E39" si="73">B4*$J$3</f>
        <v>14266.2</v>
      </c>
      <c r="C39" s="1">
        <f t="shared" si="73"/>
        <v>946.4</v>
      </c>
      <c r="D39" s="1">
        <f t="shared" si="73"/>
        <v>364</v>
      </c>
      <c r="E39" s="1">
        <f t="shared" si="73"/>
        <v>78</v>
      </c>
      <c r="F39" s="1">
        <v>81</v>
      </c>
      <c r="G39" s="1"/>
      <c r="H39" s="1">
        <f t="shared" si="57"/>
        <v>1426.6200000000001</v>
      </c>
      <c r="I39" s="1">
        <f t="shared" si="58"/>
        <v>94.64</v>
      </c>
      <c r="J39" s="1">
        <f t="shared" si="59"/>
        <v>36.4</v>
      </c>
      <c r="K39" s="1">
        <f t="shared" si="60"/>
        <v>7.8000000000000007</v>
      </c>
      <c r="L39" s="1"/>
      <c r="M39" s="1">
        <f t="shared" si="61"/>
        <v>4279.8599999999997</v>
      </c>
      <c r="N39" s="1">
        <f t="shared" si="62"/>
        <v>283.91999999999996</v>
      </c>
      <c r="O39" s="1">
        <f t="shared" si="63"/>
        <v>109.2</v>
      </c>
      <c r="P39" s="1">
        <f t="shared" si="64"/>
        <v>19.5</v>
      </c>
      <c r="Q39" s="1"/>
      <c r="R39" s="1">
        <f t="shared" si="65"/>
        <v>4279.8599999999997</v>
      </c>
      <c r="S39" s="1">
        <f t="shared" si="66"/>
        <v>331.23999999999995</v>
      </c>
      <c r="T39" s="1">
        <f t="shared" si="67"/>
        <v>145.6</v>
      </c>
      <c r="U39" s="1">
        <f t="shared" si="68"/>
        <v>27.299999999999997</v>
      </c>
      <c r="V39" s="1"/>
      <c r="W39" s="1">
        <f t="shared" si="69"/>
        <v>4279.8599999999997</v>
      </c>
      <c r="X39" s="1">
        <f t="shared" si="70"/>
        <v>236.6</v>
      </c>
      <c r="Y39" s="1">
        <f t="shared" si="71"/>
        <v>72.8</v>
      </c>
      <c r="Z39" s="1">
        <f t="shared" si="72"/>
        <v>23.4</v>
      </c>
      <c r="AA39" s="1"/>
      <c r="AB39" s="1" t="s">
        <v>45</v>
      </c>
      <c r="AC39" s="1">
        <v>70</v>
      </c>
      <c r="AD39" s="1"/>
    </row>
    <row r="40" spans="1:30" ht="15.75" customHeight="1" x14ac:dyDescent="0.15">
      <c r="A40" s="4" t="s">
        <v>18</v>
      </c>
      <c r="B40" s="1">
        <f t="shared" ref="B40:E40" si="74">B5*$J$3</f>
        <v>16403.400000000001</v>
      </c>
      <c r="C40" s="1">
        <f t="shared" si="74"/>
        <v>1463.8</v>
      </c>
      <c r="D40" s="1">
        <f t="shared" si="74"/>
        <v>738.4</v>
      </c>
      <c r="E40" s="1">
        <f t="shared" si="74"/>
        <v>137.80000000000001</v>
      </c>
      <c r="F40" s="1">
        <v>103</v>
      </c>
      <c r="G40" s="1"/>
      <c r="H40" s="1">
        <f t="shared" si="57"/>
        <v>1640.3400000000001</v>
      </c>
      <c r="I40" s="1">
        <f t="shared" si="58"/>
        <v>146.38</v>
      </c>
      <c r="J40" s="1">
        <f t="shared" si="59"/>
        <v>73.84</v>
      </c>
      <c r="K40" s="1">
        <f t="shared" si="60"/>
        <v>13.780000000000001</v>
      </c>
      <c r="L40" s="1"/>
      <c r="M40" s="1">
        <f t="shared" si="61"/>
        <v>4921.0200000000004</v>
      </c>
      <c r="N40" s="1">
        <f t="shared" si="62"/>
        <v>439.14</v>
      </c>
      <c r="O40" s="1">
        <f t="shared" si="63"/>
        <v>221.51999999999998</v>
      </c>
      <c r="P40" s="1">
        <f t="shared" si="64"/>
        <v>34.450000000000003</v>
      </c>
      <c r="Q40" s="1"/>
      <c r="R40" s="1">
        <f t="shared" si="65"/>
        <v>4921.0200000000004</v>
      </c>
      <c r="S40" s="1">
        <f t="shared" si="66"/>
        <v>512.32999999999993</v>
      </c>
      <c r="T40" s="1">
        <f t="shared" si="67"/>
        <v>295.36</v>
      </c>
      <c r="U40" s="1">
        <f t="shared" si="68"/>
        <v>48.230000000000004</v>
      </c>
      <c r="V40" s="1"/>
      <c r="W40" s="1">
        <f t="shared" si="69"/>
        <v>4921.0200000000004</v>
      </c>
      <c r="X40" s="1">
        <f t="shared" si="70"/>
        <v>365.95</v>
      </c>
      <c r="Y40" s="1">
        <f t="shared" si="71"/>
        <v>147.68</v>
      </c>
      <c r="Z40" s="1">
        <f t="shared" si="72"/>
        <v>41.34</v>
      </c>
      <c r="AA40" s="1"/>
      <c r="AB40" s="1"/>
      <c r="AC40" s="2">
        <f>SUM(AC36:AC39)</f>
        <v>305</v>
      </c>
      <c r="AD40" s="1"/>
    </row>
    <row r="41" spans="1:30" ht="15.75" customHeight="1" x14ac:dyDescent="0.15">
      <c r="A41" s="4" t="s">
        <v>20</v>
      </c>
      <c r="B41" s="1">
        <f t="shared" ref="B41:E41" si="75">B6*$J$3</f>
        <v>16637.400000000001</v>
      </c>
      <c r="C41" s="1">
        <f t="shared" si="75"/>
        <v>1814.8</v>
      </c>
      <c r="D41" s="1">
        <f t="shared" si="75"/>
        <v>925.6</v>
      </c>
      <c r="E41" s="1">
        <f t="shared" si="75"/>
        <v>184.6</v>
      </c>
      <c r="F41" s="1">
        <v>106</v>
      </c>
      <c r="G41" s="1"/>
      <c r="H41" s="1">
        <f t="shared" si="57"/>
        <v>1663.7400000000002</v>
      </c>
      <c r="I41" s="1">
        <f t="shared" si="58"/>
        <v>181.48000000000002</v>
      </c>
      <c r="J41" s="1">
        <f t="shared" si="59"/>
        <v>92.56</v>
      </c>
      <c r="K41" s="1">
        <f t="shared" si="60"/>
        <v>18.46</v>
      </c>
      <c r="L41" s="1"/>
      <c r="M41" s="1">
        <f t="shared" si="61"/>
        <v>4991.22</v>
      </c>
      <c r="N41" s="1">
        <f t="shared" si="62"/>
        <v>544.43999999999994</v>
      </c>
      <c r="O41" s="1">
        <f t="shared" si="63"/>
        <v>277.68</v>
      </c>
      <c r="P41" s="1">
        <f t="shared" si="64"/>
        <v>46.15</v>
      </c>
      <c r="Q41" s="1"/>
      <c r="R41" s="1">
        <f t="shared" si="65"/>
        <v>4991.22</v>
      </c>
      <c r="S41" s="1">
        <f t="shared" si="66"/>
        <v>635.17999999999995</v>
      </c>
      <c r="T41" s="1">
        <f t="shared" si="67"/>
        <v>370.24</v>
      </c>
      <c r="U41" s="1">
        <f t="shared" si="68"/>
        <v>64.61</v>
      </c>
      <c r="V41" s="1"/>
      <c r="W41" s="1">
        <f t="shared" si="69"/>
        <v>4991.22</v>
      </c>
      <c r="X41" s="1">
        <f t="shared" si="70"/>
        <v>453.7</v>
      </c>
      <c r="Y41" s="1">
        <f t="shared" si="71"/>
        <v>185.12</v>
      </c>
      <c r="Z41" s="1">
        <f t="shared" si="72"/>
        <v>55.379999999999995</v>
      </c>
      <c r="AA41" s="1"/>
      <c r="AB41" s="9" t="s">
        <v>49</v>
      </c>
      <c r="AC41" s="10"/>
      <c r="AD41" s="1"/>
    </row>
    <row r="42" spans="1:30" ht="15.75" customHeight="1" x14ac:dyDescent="0.15">
      <c r="A42" s="4" t="s">
        <v>22</v>
      </c>
      <c r="B42" s="1">
        <f t="shared" ref="B42:E42" si="76">B7*$J$3</f>
        <v>16858.400000000001</v>
      </c>
      <c r="C42" s="1">
        <f t="shared" si="76"/>
        <v>3101.8</v>
      </c>
      <c r="D42" s="1">
        <f t="shared" si="76"/>
        <v>2129.4</v>
      </c>
      <c r="E42" s="1">
        <f t="shared" si="76"/>
        <v>265.2</v>
      </c>
      <c r="F42" s="1">
        <v>106</v>
      </c>
      <c r="G42" s="1"/>
      <c r="H42" s="1">
        <f t="shared" si="57"/>
        <v>1685.8400000000001</v>
      </c>
      <c r="I42" s="1">
        <f t="shared" si="58"/>
        <v>310.18000000000006</v>
      </c>
      <c r="J42" s="1">
        <f t="shared" si="59"/>
        <v>212.94000000000003</v>
      </c>
      <c r="K42" s="1">
        <f t="shared" si="60"/>
        <v>26.52</v>
      </c>
      <c r="L42" s="1"/>
      <c r="M42" s="1">
        <f t="shared" si="61"/>
        <v>5057.5200000000004</v>
      </c>
      <c r="N42" s="1">
        <f t="shared" si="62"/>
        <v>930.54</v>
      </c>
      <c r="O42" s="1">
        <f t="shared" si="63"/>
        <v>638.82000000000005</v>
      </c>
      <c r="P42" s="1">
        <f t="shared" si="64"/>
        <v>66.3</v>
      </c>
      <c r="Q42" s="1"/>
      <c r="R42" s="1">
        <f t="shared" si="65"/>
        <v>5057.5200000000004</v>
      </c>
      <c r="S42" s="1">
        <f t="shared" si="66"/>
        <v>1085.6299999999999</v>
      </c>
      <c r="T42" s="1">
        <f t="shared" si="67"/>
        <v>851.7600000000001</v>
      </c>
      <c r="U42" s="1">
        <f t="shared" si="68"/>
        <v>92.82</v>
      </c>
      <c r="V42" s="1"/>
      <c r="W42" s="1">
        <f t="shared" si="69"/>
        <v>5057.5200000000004</v>
      </c>
      <c r="X42" s="1">
        <f t="shared" si="70"/>
        <v>775.45</v>
      </c>
      <c r="Y42" s="1">
        <f t="shared" si="71"/>
        <v>425.88000000000005</v>
      </c>
      <c r="Z42" s="1">
        <f t="shared" si="72"/>
        <v>79.559999999999988</v>
      </c>
      <c r="AA42" s="1"/>
      <c r="AB42" s="1" t="s">
        <v>36</v>
      </c>
      <c r="AC42" s="1">
        <v>45</v>
      </c>
      <c r="AD42" s="1"/>
    </row>
    <row r="43" spans="1:30" ht="15.75" customHeight="1" x14ac:dyDescent="0.15">
      <c r="A43" s="4" t="s">
        <v>24</v>
      </c>
      <c r="B43" s="1">
        <f t="shared" ref="B43:E43" si="77">B8*$J$3</f>
        <v>15745.6</v>
      </c>
      <c r="C43" s="1">
        <f t="shared" si="77"/>
        <v>1718.6000000000001</v>
      </c>
      <c r="D43" s="1">
        <f t="shared" si="77"/>
        <v>699.4</v>
      </c>
      <c r="E43" s="1">
        <f t="shared" si="77"/>
        <v>226.20000000000002</v>
      </c>
      <c r="F43" s="1">
        <v>95</v>
      </c>
      <c r="G43" s="1"/>
      <c r="H43" s="1">
        <f t="shared" si="57"/>
        <v>1574.5600000000002</v>
      </c>
      <c r="I43" s="1">
        <f t="shared" si="58"/>
        <v>171.86</v>
      </c>
      <c r="J43" s="1">
        <f t="shared" si="59"/>
        <v>69.94</v>
      </c>
      <c r="K43" s="1">
        <f t="shared" si="60"/>
        <v>22.620000000000005</v>
      </c>
      <c r="L43" s="1"/>
      <c r="M43" s="1">
        <f t="shared" si="61"/>
        <v>4723.68</v>
      </c>
      <c r="N43" s="1">
        <f t="shared" si="62"/>
        <v>515.58000000000004</v>
      </c>
      <c r="O43" s="1">
        <f t="shared" si="63"/>
        <v>209.82</v>
      </c>
      <c r="P43" s="1">
        <f t="shared" si="64"/>
        <v>56.550000000000004</v>
      </c>
      <c r="Q43" s="1"/>
      <c r="R43" s="1">
        <f t="shared" si="65"/>
        <v>4723.68</v>
      </c>
      <c r="S43" s="1">
        <f t="shared" si="66"/>
        <v>601.51</v>
      </c>
      <c r="T43" s="1">
        <f t="shared" si="67"/>
        <v>279.76</v>
      </c>
      <c r="U43" s="1">
        <f t="shared" si="68"/>
        <v>79.17</v>
      </c>
      <c r="V43" s="1"/>
      <c r="W43" s="1">
        <f t="shared" si="69"/>
        <v>4723.68</v>
      </c>
      <c r="X43" s="1">
        <f t="shared" si="70"/>
        <v>429.65000000000003</v>
      </c>
      <c r="Y43" s="1">
        <f t="shared" si="71"/>
        <v>139.88</v>
      </c>
      <c r="Z43" s="1">
        <f t="shared" si="72"/>
        <v>67.86</v>
      </c>
      <c r="AA43" s="1"/>
      <c r="AB43" s="1" t="s">
        <v>37</v>
      </c>
      <c r="AC43" s="1">
        <v>80</v>
      </c>
      <c r="AD43" s="1"/>
    </row>
    <row r="44" spans="1:30" ht="15.75" customHeight="1" x14ac:dyDescent="0.15">
      <c r="A44" s="4" t="s">
        <v>26</v>
      </c>
      <c r="B44" s="1">
        <f t="shared" ref="B44:E44" si="78">B9*$J$3</f>
        <v>17568.2</v>
      </c>
      <c r="C44" s="1">
        <f t="shared" si="78"/>
        <v>2795</v>
      </c>
      <c r="D44" s="1">
        <f t="shared" si="78"/>
        <v>1905.8</v>
      </c>
      <c r="E44" s="1">
        <f t="shared" si="78"/>
        <v>293.8</v>
      </c>
      <c r="F44" s="1">
        <v>112</v>
      </c>
      <c r="G44" s="1"/>
      <c r="H44" s="1">
        <f t="shared" si="57"/>
        <v>1756.8200000000002</v>
      </c>
      <c r="I44" s="1">
        <f t="shared" si="58"/>
        <v>279.5</v>
      </c>
      <c r="J44" s="1">
        <f t="shared" si="59"/>
        <v>190.58</v>
      </c>
      <c r="K44" s="1">
        <f t="shared" si="60"/>
        <v>29.380000000000003</v>
      </c>
      <c r="L44" s="1"/>
      <c r="M44" s="1">
        <f t="shared" si="61"/>
        <v>5270.46</v>
      </c>
      <c r="N44" s="1">
        <f t="shared" si="62"/>
        <v>838.5</v>
      </c>
      <c r="O44" s="1">
        <f t="shared" si="63"/>
        <v>571.74</v>
      </c>
      <c r="P44" s="1">
        <f t="shared" si="64"/>
        <v>73.45</v>
      </c>
      <c r="Q44" s="1"/>
      <c r="R44" s="1">
        <f t="shared" si="65"/>
        <v>5270.46</v>
      </c>
      <c r="S44" s="1">
        <f t="shared" si="66"/>
        <v>978.24999999999989</v>
      </c>
      <c r="T44" s="1">
        <f t="shared" si="67"/>
        <v>762.32</v>
      </c>
      <c r="U44" s="1">
        <f t="shared" si="68"/>
        <v>102.83</v>
      </c>
      <c r="V44" s="1"/>
      <c r="W44" s="1">
        <f t="shared" si="69"/>
        <v>5270.46</v>
      </c>
      <c r="X44" s="1">
        <f t="shared" si="70"/>
        <v>698.75</v>
      </c>
      <c r="Y44" s="1">
        <f t="shared" si="71"/>
        <v>381.16</v>
      </c>
      <c r="Z44" s="1">
        <f t="shared" si="72"/>
        <v>88.14</v>
      </c>
      <c r="AA44" s="1"/>
      <c r="AB44" s="1" t="s">
        <v>38</v>
      </c>
      <c r="AC44" s="1">
        <v>70</v>
      </c>
      <c r="AD44" s="1"/>
    </row>
    <row r="45" spans="1:30" ht="15.75" customHeight="1" x14ac:dyDescent="0.15">
      <c r="A45" s="4" t="s">
        <v>28</v>
      </c>
      <c r="B45" s="1">
        <f t="shared" ref="B45:E45" si="79">B10*$J$3</f>
        <v>19201</v>
      </c>
      <c r="C45" s="1">
        <f t="shared" si="79"/>
        <v>3356.6</v>
      </c>
      <c r="D45" s="1">
        <f t="shared" si="79"/>
        <v>2688.4</v>
      </c>
      <c r="E45" s="1">
        <f t="shared" si="79"/>
        <v>273</v>
      </c>
      <c r="F45" s="1">
        <v>130</v>
      </c>
      <c r="G45" s="1"/>
      <c r="H45" s="1">
        <f t="shared" si="57"/>
        <v>1920.1000000000001</v>
      </c>
      <c r="I45" s="1">
        <f t="shared" si="58"/>
        <v>335.66</v>
      </c>
      <c r="J45" s="1">
        <f t="shared" si="59"/>
        <v>268.84000000000003</v>
      </c>
      <c r="K45" s="1">
        <f t="shared" si="60"/>
        <v>27.3</v>
      </c>
      <c r="L45" s="1"/>
      <c r="M45" s="1">
        <f t="shared" si="61"/>
        <v>5760.3</v>
      </c>
      <c r="N45" s="1">
        <f t="shared" si="62"/>
        <v>1006.9799999999999</v>
      </c>
      <c r="O45" s="1">
        <f t="shared" si="63"/>
        <v>806.52</v>
      </c>
      <c r="P45" s="1">
        <f t="shared" si="64"/>
        <v>68.25</v>
      </c>
      <c r="Q45" s="1"/>
      <c r="R45" s="1">
        <f t="shared" si="65"/>
        <v>5760.3</v>
      </c>
      <c r="S45" s="1">
        <f t="shared" si="66"/>
        <v>1174.81</v>
      </c>
      <c r="T45" s="1">
        <f t="shared" si="67"/>
        <v>1075.3600000000001</v>
      </c>
      <c r="U45" s="1">
        <f t="shared" si="68"/>
        <v>95.55</v>
      </c>
      <c r="V45" s="1"/>
      <c r="W45" s="1">
        <f t="shared" si="69"/>
        <v>5760.3</v>
      </c>
      <c r="X45" s="1">
        <f t="shared" si="70"/>
        <v>839.15</v>
      </c>
      <c r="Y45" s="1">
        <f t="shared" si="71"/>
        <v>537.68000000000006</v>
      </c>
      <c r="Z45" s="1">
        <f t="shared" si="72"/>
        <v>81.899999999999991</v>
      </c>
      <c r="AA45" s="1"/>
      <c r="AB45" s="1" t="s">
        <v>45</v>
      </c>
      <c r="AC45" s="1">
        <v>120</v>
      </c>
      <c r="AD45" s="1"/>
    </row>
    <row r="46" spans="1:30" ht="15.75" customHeight="1" x14ac:dyDescent="0.15">
      <c r="A46" s="4" t="s">
        <v>30</v>
      </c>
      <c r="B46" s="1">
        <f t="shared" ref="B46:E46" si="80">B11*$J$3</f>
        <v>18538</v>
      </c>
      <c r="C46" s="1">
        <f t="shared" si="80"/>
        <v>2847</v>
      </c>
      <c r="D46" s="1">
        <f t="shared" si="80"/>
        <v>2095.6</v>
      </c>
      <c r="E46" s="1">
        <f t="shared" si="80"/>
        <v>241.8</v>
      </c>
      <c r="F46" s="1">
        <v>121</v>
      </c>
      <c r="G46" s="1"/>
      <c r="H46" s="1">
        <f t="shared" si="57"/>
        <v>1853.8000000000002</v>
      </c>
      <c r="I46" s="1">
        <f t="shared" si="58"/>
        <v>284.7</v>
      </c>
      <c r="J46" s="1">
        <f t="shared" si="59"/>
        <v>209.56</v>
      </c>
      <c r="K46" s="1">
        <f t="shared" si="60"/>
        <v>24.180000000000003</v>
      </c>
      <c r="L46" s="1"/>
      <c r="M46" s="1">
        <f t="shared" si="61"/>
        <v>5561.4</v>
      </c>
      <c r="N46" s="1">
        <f t="shared" si="62"/>
        <v>854.1</v>
      </c>
      <c r="O46" s="1">
        <f t="shared" si="63"/>
        <v>628.67999999999995</v>
      </c>
      <c r="P46" s="1">
        <f t="shared" si="64"/>
        <v>60.45</v>
      </c>
      <c r="Q46" s="1"/>
      <c r="R46" s="1">
        <f t="shared" si="65"/>
        <v>5561.4</v>
      </c>
      <c r="S46" s="1">
        <f t="shared" si="66"/>
        <v>996.44999999999993</v>
      </c>
      <c r="T46" s="1">
        <f t="shared" si="67"/>
        <v>838.24</v>
      </c>
      <c r="U46" s="1">
        <f t="shared" si="68"/>
        <v>84.63</v>
      </c>
      <c r="V46" s="1"/>
      <c r="W46" s="1">
        <f t="shared" si="69"/>
        <v>5561.4</v>
      </c>
      <c r="X46" s="1">
        <f t="shared" si="70"/>
        <v>711.75</v>
      </c>
      <c r="Y46" s="1">
        <f t="shared" si="71"/>
        <v>419.12</v>
      </c>
      <c r="Z46" s="1">
        <f t="shared" si="72"/>
        <v>72.540000000000006</v>
      </c>
      <c r="AA46" s="1"/>
      <c r="AB46" s="1"/>
      <c r="AC46" s="2">
        <f>SUM(AC42:AC45)</f>
        <v>315</v>
      </c>
      <c r="AD46" s="1"/>
    </row>
    <row r="47" spans="1:30" ht="15.75" customHeight="1" x14ac:dyDescent="0.15">
      <c r="A47" s="2"/>
      <c r="B47" s="2"/>
      <c r="C47" s="2"/>
      <c r="D47" s="2"/>
      <c r="E47" s="2"/>
      <c r="F47" s="2"/>
      <c r="G47" s="1"/>
      <c r="H47" s="1">
        <v>0.1</v>
      </c>
      <c r="I47" s="1">
        <v>0.1</v>
      </c>
      <c r="J47" s="1">
        <v>0.1</v>
      </c>
      <c r="K47" s="1">
        <v>0.1</v>
      </c>
      <c r="L47" s="1"/>
      <c r="M47" s="1">
        <v>0.3</v>
      </c>
      <c r="N47" s="1">
        <v>0.3</v>
      </c>
      <c r="O47" s="1">
        <v>0.3</v>
      </c>
      <c r="P47" s="1">
        <v>0.25</v>
      </c>
      <c r="Q47" s="1"/>
      <c r="R47" s="1">
        <v>0.3</v>
      </c>
      <c r="S47" s="1">
        <v>0.35</v>
      </c>
      <c r="T47" s="1">
        <v>0.4</v>
      </c>
      <c r="U47" s="1">
        <v>0.35</v>
      </c>
      <c r="V47" s="1"/>
      <c r="W47" s="1">
        <v>0.3</v>
      </c>
      <c r="X47" s="1">
        <v>0.25</v>
      </c>
      <c r="Y47" s="1">
        <v>0.2</v>
      </c>
      <c r="Z47" s="1">
        <v>0.3</v>
      </c>
      <c r="AA47" s="1"/>
      <c r="AB47" s="1"/>
      <c r="AC47" s="1"/>
      <c r="AD47" s="1"/>
    </row>
    <row r="48" spans="1:30" ht="15.75" customHeight="1" x14ac:dyDescent="0.15">
      <c r="A48" s="11" t="s">
        <v>11</v>
      </c>
      <c r="B48" s="12"/>
      <c r="C48" s="12"/>
      <c r="D48" s="12"/>
      <c r="E48" s="12"/>
      <c r="F48" s="10"/>
      <c r="G48" s="1"/>
      <c r="H48" s="11" t="s">
        <v>42</v>
      </c>
      <c r="I48" s="12"/>
      <c r="J48" s="12"/>
      <c r="K48" s="10"/>
      <c r="L48" s="1"/>
      <c r="M48" s="11" t="s">
        <v>43</v>
      </c>
      <c r="N48" s="12"/>
      <c r="O48" s="12"/>
      <c r="P48" s="10"/>
      <c r="Q48" s="1"/>
      <c r="R48" s="11" t="s">
        <v>44</v>
      </c>
      <c r="S48" s="12"/>
      <c r="T48" s="12"/>
      <c r="U48" s="10"/>
      <c r="V48" s="1"/>
      <c r="W48" s="11" t="s">
        <v>48</v>
      </c>
      <c r="X48" s="12"/>
      <c r="Y48" s="12"/>
      <c r="Z48" s="10"/>
      <c r="AA48" s="1"/>
      <c r="AB48" s="1"/>
      <c r="AC48" s="1"/>
      <c r="AD48" s="1"/>
    </row>
    <row r="49" spans="1:30" ht="13" x14ac:dyDescent="0.15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  <c r="F49" s="3" t="s">
        <v>7</v>
      </c>
      <c r="G49" s="1"/>
      <c r="H49" s="3" t="s">
        <v>3</v>
      </c>
      <c r="I49" s="3" t="s">
        <v>4</v>
      </c>
      <c r="J49" s="3" t="s">
        <v>5</v>
      </c>
      <c r="K49" s="3" t="s">
        <v>6</v>
      </c>
      <c r="L49" s="1"/>
      <c r="M49" s="3" t="s">
        <v>3</v>
      </c>
      <c r="N49" s="3" t="s">
        <v>4</v>
      </c>
      <c r="O49" s="3" t="s">
        <v>5</v>
      </c>
      <c r="P49" s="3" t="s">
        <v>6</v>
      </c>
      <c r="Q49" s="1"/>
      <c r="R49" s="3" t="s">
        <v>3</v>
      </c>
      <c r="S49" s="3" t="s">
        <v>4</v>
      </c>
      <c r="T49" s="3" t="s">
        <v>5</v>
      </c>
      <c r="U49" s="3" t="s">
        <v>6</v>
      </c>
      <c r="V49" s="1"/>
      <c r="W49" s="3" t="s">
        <v>3</v>
      </c>
      <c r="X49" s="3" t="s">
        <v>4</v>
      </c>
      <c r="Y49" s="3" t="s">
        <v>5</v>
      </c>
      <c r="Z49" s="3" t="s">
        <v>6</v>
      </c>
      <c r="AA49" s="1"/>
      <c r="AB49" s="1"/>
      <c r="AC49" s="1"/>
      <c r="AD49" s="1"/>
    </row>
    <row r="50" spans="1:30" ht="13" x14ac:dyDescent="0.15">
      <c r="A50" s="4" t="s">
        <v>14</v>
      </c>
      <c r="B50" s="1">
        <f t="shared" ref="B50:E50" si="81">B3*$K$3</f>
        <v>13502.4</v>
      </c>
      <c r="C50" s="1">
        <f t="shared" si="81"/>
        <v>938.4</v>
      </c>
      <c r="D50" s="1">
        <f t="shared" si="81"/>
        <v>240</v>
      </c>
      <c r="E50" s="1">
        <f t="shared" si="81"/>
        <v>74.399999999999991</v>
      </c>
      <c r="F50" s="1">
        <v>85</v>
      </c>
      <c r="G50" s="1"/>
      <c r="H50" s="1">
        <f t="shared" ref="H50:H58" si="82">B50*$H$47</f>
        <v>1350.24</v>
      </c>
      <c r="I50" s="1">
        <f t="shared" ref="I50:I58" si="83">C50*$I$47</f>
        <v>93.84</v>
      </c>
      <c r="J50" s="1">
        <f t="shared" ref="J50:J58" si="84">D50*$J$47</f>
        <v>24</v>
      </c>
      <c r="K50" s="1">
        <f t="shared" ref="K50:K58" si="85">E50*$K$47</f>
        <v>7.4399999999999995</v>
      </c>
      <c r="L50" s="1"/>
      <c r="M50" s="1">
        <f t="shared" ref="M50:M58" si="86">B50*$M$47</f>
        <v>4050.72</v>
      </c>
      <c r="N50" s="1">
        <f t="shared" ref="N50:N58" si="87">C50*$N$47</f>
        <v>281.52</v>
      </c>
      <c r="O50" s="1">
        <f t="shared" ref="O50:O58" si="88">D50*$O$47</f>
        <v>72</v>
      </c>
      <c r="P50" s="1">
        <f t="shared" ref="P50:P58" si="89">E50*$P$47</f>
        <v>18.599999999999998</v>
      </c>
      <c r="Q50" s="1"/>
      <c r="R50" s="1">
        <f t="shared" ref="R50:R58" si="90">B50*$R$47</f>
        <v>4050.72</v>
      </c>
      <c r="S50" s="1">
        <f t="shared" ref="S50:S58" si="91">C50*$S$47</f>
        <v>328.44</v>
      </c>
      <c r="T50" s="1">
        <f t="shared" ref="T50:T58" si="92">D50*$T$47</f>
        <v>96</v>
      </c>
      <c r="U50" s="1">
        <f t="shared" ref="U50:U58" si="93">E50*$U$47</f>
        <v>26.039999999999996</v>
      </c>
      <c r="V50" s="1"/>
      <c r="W50" s="1">
        <f t="shared" ref="W50:W58" si="94">B50*$W$47</f>
        <v>4050.72</v>
      </c>
      <c r="X50" s="1">
        <f t="shared" ref="X50:X58" si="95">C50*$X$47</f>
        <v>234.6</v>
      </c>
      <c r="Y50" s="1">
        <f t="shared" ref="Y50:Y58" si="96">D50*$Y$47</f>
        <v>48</v>
      </c>
      <c r="Z50" s="1">
        <f t="shared" ref="Z50:Z58" si="97">E50*$Z$47</f>
        <v>22.319999999999997</v>
      </c>
      <c r="AA50" s="1"/>
      <c r="AB50" s="1"/>
      <c r="AC50" s="1"/>
      <c r="AD50" s="1"/>
    </row>
    <row r="51" spans="1:30" ht="13" x14ac:dyDescent="0.15">
      <c r="A51" s="4" t="s">
        <v>15</v>
      </c>
      <c r="B51" s="1">
        <f t="shared" ref="B51:E51" si="98">B4*$K$3</f>
        <v>13168.8</v>
      </c>
      <c r="C51" s="1">
        <f t="shared" si="98"/>
        <v>873.6</v>
      </c>
      <c r="D51" s="1">
        <f t="shared" si="98"/>
        <v>336</v>
      </c>
      <c r="E51" s="1">
        <f t="shared" si="98"/>
        <v>72</v>
      </c>
      <c r="F51" s="1">
        <v>81</v>
      </c>
      <c r="G51" s="1"/>
      <c r="H51" s="1">
        <f t="shared" si="82"/>
        <v>1316.88</v>
      </c>
      <c r="I51" s="1">
        <f t="shared" si="83"/>
        <v>87.360000000000014</v>
      </c>
      <c r="J51" s="1">
        <f t="shared" si="84"/>
        <v>33.6</v>
      </c>
      <c r="K51" s="1">
        <f t="shared" si="85"/>
        <v>7.2</v>
      </c>
      <c r="L51" s="1"/>
      <c r="M51" s="1">
        <f t="shared" si="86"/>
        <v>3950.6399999999994</v>
      </c>
      <c r="N51" s="1">
        <f t="shared" si="87"/>
        <v>262.08</v>
      </c>
      <c r="O51" s="1">
        <f t="shared" si="88"/>
        <v>100.8</v>
      </c>
      <c r="P51" s="1">
        <f t="shared" si="89"/>
        <v>18</v>
      </c>
      <c r="Q51" s="1"/>
      <c r="R51" s="1">
        <f t="shared" si="90"/>
        <v>3950.6399999999994</v>
      </c>
      <c r="S51" s="1">
        <f t="shared" si="91"/>
        <v>305.76</v>
      </c>
      <c r="T51" s="1">
        <f t="shared" si="92"/>
        <v>134.4</v>
      </c>
      <c r="U51" s="1">
        <f t="shared" si="93"/>
        <v>25.2</v>
      </c>
      <c r="V51" s="1"/>
      <c r="W51" s="1">
        <f t="shared" si="94"/>
        <v>3950.6399999999994</v>
      </c>
      <c r="X51" s="1">
        <f t="shared" si="95"/>
        <v>218.4</v>
      </c>
      <c r="Y51" s="1">
        <f t="shared" si="96"/>
        <v>67.2</v>
      </c>
      <c r="Z51" s="1">
        <f t="shared" si="97"/>
        <v>21.599999999999998</v>
      </c>
      <c r="AA51" s="1"/>
      <c r="AB51" s="1"/>
      <c r="AC51" s="1"/>
      <c r="AD51" s="1"/>
    </row>
    <row r="52" spans="1:30" ht="13" x14ac:dyDescent="0.15">
      <c r="A52" s="4" t="s">
        <v>18</v>
      </c>
      <c r="B52" s="1">
        <f t="shared" ref="B52:E52" si="99">B5*$K$3</f>
        <v>15141.599999999999</v>
      </c>
      <c r="C52" s="1">
        <f t="shared" si="99"/>
        <v>1351.2</v>
      </c>
      <c r="D52" s="1">
        <f t="shared" si="99"/>
        <v>681.6</v>
      </c>
      <c r="E52" s="1">
        <f t="shared" si="99"/>
        <v>127.19999999999999</v>
      </c>
      <c r="F52" s="1">
        <v>103</v>
      </c>
      <c r="G52" s="1"/>
      <c r="H52" s="1">
        <f t="shared" si="82"/>
        <v>1514.1599999999999</v>
      </c>
      <c r="I52" s="1">
        <f t="shared" si="83"/>
        <v>135.12</v>
      </c>
      <c r="J52" s="1">
        <f t="shared" si="84"/>
        <v>68.160000000000011</v>
      </c>
      <c r="K52" s="1">
        <f t="shared" si="85"/>
        <v>12.719999999999999</v>
      </c>
      <c r="L52" s="1"/>
      <c r="M52" s="1">
        <f t="shared" si="86"/>
        <v>4542.4799999999996</v>
      </c>
      <c r="N52" s="1">
        <f t="shared" si="87"/>
        <v>405.36</v>
      </c>
      <c r="O52" s="1">
        <f t="shared" si="88"/>
        <v>204.48</v>
      </c>
      <c r="P52" s="1">
        <f t="shared" si="89"/>
        <v>31.799999999999997</v>
      </c>
      <c r="Q52" s="1"/>
      <c r="R52" s="1">
        <f t="shared" si="90"/>
        <v>4542.4799999999996</v>
      </c>
      <c r="S52" s="1">
        <f t="shared" si="91"/>
        <v>472.91999999999996</v>
      </c>
      <c r="T52" s="1">
        <f t="shared" si="92"/>
        <v>272.64000000000004</v>
      </c>
      <c r="U52" s="1">
        <f t="shared" si="93"/>
        <v>44.519999999999996</v>
      </c>
      <c r="V52" s="1"/>
      <c r="W52" s="1">
        <f t="shared" si="94"/>
        <v>4542.4799999999996</v>
      </c>
      <c r="X52" s="1">
        <f t="shared" si="95"/>
        <v>337.8</v>
      </c>
      <c r="Y52" s="1">
        <f t="shared" si="96"/>
        <v>136.32000000000002</v>
      </c>
      <c r="Z52" s="1">
        <f t="shared" si="97"/>
        <v>38.159999999999997</v>
      </c>
      <c r="AA52" s="1"/>
      <c r="AB52" s="1"/>
      <c r="AC52" s="1"/>
      <c r="AD52" s="1"/>
    </row>
    <row r="53" spans="1:30" ht="13" x14ac:dyDescent="0.15">
      <c r="A53" s="4" t="s">
        <v>20</v>
      </c>
      <c r="B53" s="1">
        <f t="shared" ref="B53:E53" si="100">B6*$K$3</f>
        <v>15357.599999999999</v>
      </c>
      <c r="C53" s="1">
        <f t="shared" si="100"/>
        <v>1675.2</v>
      </c>
      <c r="D53" s="1">
        <f t="shared" si="100"/>
        <v>854.4</v>
      </c>
      <c r="E53" s="1">
        <f t="shared" si="100"/>
        <v>170.4</v>
      </c>
      <c r="F53" s="1">
        <v>106</v>
      </c>
      <c r="G53" s="1"/>
      <c r="H53" s="1">
        <f t="shared" si="82"/>
        <v>1535.76</v>
      </c>
      <c r="I53" s="1">
        <f t="shared" si="83"/>
        <v>167.52</v>
      </c>
      <c r="J53" s="1">
        <f t="shared" si="84"/>
        <v>85.44</v>
      </c>
      <c r="K53" s="1">
        <f t="shared" si="85"/>
        <v>17.040000000000003</v>
      </c>
      <c r="L53" s="1"/>
      <c r="M53" s="1">
        <f t="shared" si="86"/>
        <v>4607.28</v>
      </c>
      <c r="N53" s="1">
        <f t="shared" si="87"/>
        <v>502.56</v>
      </c>
      <c r="O53" s="1">
        <f t="shared" si="88"/>
        <v>256.32</v>
      </c>
      <c r="P53" s="1">
        <f t="shared" si="89"/>
        <v>42.6</v>
      </c>
      <c r="Q53" s="1"/>
      <c r="R53" s="1">
        <f t="shared" si="90"/>
        <v>4607.28</v>
      </c>
      <c r="S53" s="1">
        <f t="shared" si="91"/>
        <v>586.31999999999994</v>
      </c>
      <c r="T53" s="1">
        <f t="shared" si="92"/>
        <v>341.76</v>
      </c>
      <c r="U53" s="1">
        <f t="shared" si="93"/>
        <v>59.64</v>
      </c>
      <c r="V53" s="1"/>
      <c r="W53" s="1">
        <f t="shared" si="94"/>
        <v>4607.28</v>
      </c>
      <c r="X53" s="1">
        <f t="shared" si="95"/>
        <v>418.8</v>
      </c>
      <c r="Y53" s="1">
        <f t="shared" si="96"/>
        <v>170.88</v>
      </c>
      <c r="Z53" s="1">
        <f t="shared" si="97"/>
        <v>51.12</v>
      </c>
      <c r="AA53" s="1"/>
      <c r="AB53" s="1"/>
      <c r="AC53" s="1"/>
      <c r="AD53" s="1"/>
    </row>
    <row r="54" spans="1:30" ht="13" x14ac:dyDescent="0.15">
      <c r="A54" s="4" t="s">
        <v>22</v>
      </c>
      <c r="B54" s="1">
        <f t="shared" ref="B54:E54" si="101">B7*$K$3</f>
        <v>15561.599999999999</v>
      </c>
      <c r="C54" s="1">
        <f t="shared" si="101"/>
        <v>2863.2</v>
      </c>
      <c r="D54" s="1">
        <f t="shared" si="101"/>
        <v>1965.6</v>
      </c>
      <c r="E54" s="1">
        <f t="shared" si="101"/>
        <v>244.79999999999998</v>
      </c>
      <c r="F54" s="1">
        <v>106</v>
      </c>
      <c r="G54" s="1"/>
      <c r="H54" s="1">
        <f t="shared" si="82"/>
        <v>1556.1599999999999</v>
      </c>
      <c r="I54" s="1">
        <f t="shared" si="83"/>
        <v>286.32</v>
      </c>
      <c r="J54" s="1">
        <f t="shared" si="84"/>
        <v>196.56</v>
      </c>
      <c r="K54" s="1">
        <f t="shared" si="85"/>
        <v>24.48</v>
      </c>
      <c r="L54" s="1"/>
      <c r="M54" s="1">
        <f t="shared" si="86"/>
        <v>4668.4799999999996</v>
      </c>
      <c r="N54" s="1">
        <f t="shared" si="87"/>
        <v>858.95999999999992</v>
      </c>
      <c r="O54" s="1">
        <f t="shared" si="88"/>
        <v>589.67999999999995</v>
      </c>
      <c r="P54" s="1">
        <f t="shared" si="89"/>
        <v>61.199999999999996</v>
      </c>
      <c r="Q54" s="1"/>
      <c r="R54" s="1">
        <f t="shared" si="90"/>
        <v>4668.4799999999996</v>
      </c>
      <c r="S54" s="1">
        <f t="shared" si="91"/>
        <v>1002.1199999999999</v>
      </c>
      <c r="T54" s="1">
        <f t="shared" si="92"/>
        <v>786.24</v>
      </c>
      <c r="U54" s="1">
        <f t="shared" si="93"/>
        <v>85.679999999999993</v>
      </c>
      <c r="V54" s="1"/>
      <c r="W54" s="1">
        <f t="shared" si="94"/>
        <v>4668.4799999999996</v>
      </c>
      <c r="X54" s="1">
        <f t="shared" si="95"/>
        <v>715.8</v>
      </c>
      <c r="Y54" s="1">
        <f t="shared" si="96"/>
        <v>393.12</v>
      </c>
      <c r="Z54" s="1">
        <f t="shared" si="97"/>
        <v>73.44</v>
      </c>
      <c r="AA54" s="1"/>
      <c r="AB54" s="1"/>
      <c r="AC54" s="1"/>
      <c r="AD54" s="1"/>
    </row>
    <row r="55" spans="1:30" ht="13" x14ac:dyDescent="0.15">
      <c r="A55" s="4" t="s">
        <v>24</v>
      </c>
      <c r="B55" s="1">
        <f t="shared" ref="B55:E55" si="102">B8*$K$3</f>
        <v>14534.4</v>
      </c>
      <c r="C55" s="1">
        <f t="shared" si="102"/>
        <v>1586.3999999999999</v>
      </c>
      <c r="D55" s="1">
        <f t="shared" si="102"/>
        <v>645.6</v>
      </c>
      <c r="E55" s="1">
        <f t="shared" si="102"/>
        <v>208.79999999999998</v>
      </c>
      <c r="F55" s="1">
        <v>95</v>
      </c>
      <c r="G55" s="1"/>
      <c r="H55" s="1">
        <f t="shared" si="82"/>
        <v>1453.44</v>
      </c>
      <c r="I55" s="1">
        <f t="shared" si="83"/>
        <v>158.63999999999999</v>
      </c>
      <c r="J55" s="1">
        <f t="shared" si="84"/>
        <v>64.56</v>
      </c>
      <c r="K55" s="1">
        <f t="shared" si="85"/>
        <v>20.88</v>
      </c>
      <c r="L55" s="1"/>
      <c r="M55" s="1">
        <f t="shared" si="86"/>
        <v>4360.32</v>
      </c>
      <c r="N55" s="1">
        <f t="shared" si="87"/>
        <v>475.91999999999996</v>
      </c>
      <c r="O55" s="1">
        <f t="shared" si="88"/>
        <v>193.68</v>
      </c>
      <c r="P55" s="1">
        <f t="shared" si="89"/>
        <v>52.199999999999996</v>
      </c>
      <c r="Q55" s="1"/>
      <c r="R55" s="1">
        <f t="shared" si="90"/>
        <v>4360.32</v>
      </c>
      <c r="S55" s="1">
        <f t="shared" si="91"/>
        <v>555.2399999999999</v>
      </c>
      <c r="T55" s="1">
        <f t="shared" si="92"/>
        <v>258.24</v>
      </c>
      <c r="U55" s="1">
        <f t="shared" si="93"/>
        <v>73.079999999999984</v>
      </c>
      <c r="V55" s="1"/>
      <c r="W55" s="1">
        <f t="shared" si="94"/>
        <v>4360.32</v>
      </c>
      <c r="X55" s="1">
        <f t="shared" si="95"/>
        <v>396.59999999999997</v>
      </c>
      <c r="Y55" s="1">
        <f t="shared" si="96"/>
        <v>129.12</v>
      </c>
      <c r="Z55" s="1">
        <f t="shared" si="97"/>
        <v>62.639999999999993</v>
      </c>
      <c r="AA55" s="1"/>
      <c r="AB55" s="1"/>
      <c r="AC55" s="1"/>
      <c r="AD55" s="1"/>
    </row>
    <row r="56" spans="1:30" ht="13" x14ac:dyDescent="0.15">
      <c r="A56" s="4" t="s">
        <v>26</v>
      </c>
      <c r="B56" s="1">
        <f t="shared" ref="B56:E56" si="103">B9*$K$3</f>
        <v>16216.8</v>
      </c>
      <c r="C56" s="1">
        <f t="shared" si="103"/>
        <v>2580</v>
      </c>
      <c r="D56" s="1">
        <f t="shared" si="103"/>
        <v>1759.2</v>
      </c>
      <c r="E56" s="1">
        <f t="shared" si="103"/>
        <v>271.2</v>
      </c>
      <c r="F56" s="1">
        <v>112</v>
      </c>
      <c r="G56" s="1"/>
      <c r="H56" s="1">
        <f t="shared" si="82"/>
        <v>1621.68</v>
      </c>
      <c r="I56" s="1">
        <f t="shared" si="83"/>
        <v>258</v>
      </c>
      <c r="J56" s="1">
        <f t="shared" si="84"/>
        <v>175.92000000000002</v>
      </c>
      <c r="K56" s="1">
        <f t="shared" si="85"/>
        <v>27.12</v>
      </c>
      <c r="L56" s="1"/>
      <c r="M56" s="1">
        <f t="shared" si="86"/>
        <v>4865.04</v>
      </c>
      <c r="N56" s="1">
        <f t="shared" si="87"/>
        <v>774</v>
      </c>
      <c r="O56" s="1">
        <f t="shared" si="88"/>
        <v>527.76</v>
      </c>
      <c r="P56" s="1">
        <f t="shared" si="89"/>
        <v>67.8</v>
      </c>
      <c r="Q56" s="1"/>
      <c r="R56" s="1">
        <f t="shared" si="90"/>
        <v>4865.04</v>
      </c>
      <c r="S56" s="1">
        <f t="shared" si="91"/>
        <v>902.99999999999989</v>
      </c>
      <c r="T56" s="1">
        <f t="shared" si="92"/>
        <v>703.68000000000006</v>
      </c>
      <c r="U56" s="1">
        <f t="shared" si="93"/>
        <v>94.919999999999987</v>
      </c>
      <c r="V56" s="1"/>
      <c r="W56" s="1">
        <f t="shared" si="94"/>
        <v>4865.04</v>
      </c>
      <c r="X56" s="1">
        <f t="shared" si="95"/>
        <v>645</v>
      </c>
      <c r="Y56" s="1">
        <f t="shared" si="96"/>
        <v>351.84000000000003</v>
      </c>
      <c r="Z56" s="1">
        <f t="shared" si="97"/>
        <v>81.36</v>
      </c>
      <c r="AA56" s="1"/>
      <c r="AB56" s="1"/>
      <c r="AC56" s="1"/>
      <c r="AD56" s="1"/>
    </row>
    <row r="57" spans="1:30" ht="13" x14ac:dyDescent="0.15">
      <c r="A57" s="4" t="s">
        <v>28</v>
      </c>
      <c r="B57" s="1">
        <f t="shared" ref="B57:E57" si="104">B10*$K$3</f>
        <v>17724</v>
      </c>
      <c r="C57" s="1">
        <f t="shared" si="104"/>
        <v>3098.4</v>
      </c>
      <c r="D57" s="1">
        <f t="shared" si="104"/>
        <v>2481.6</v>
      </c>
      <c r="E57" s="1">
        <f t="shared" si="104"/>
        <v>252</v>
      </c>
      <c r="F57" s="1">
        <v>130</v>
      </c>
      <c r="G57" s="1"/>
      <c r="H57" s="1">
        <f t="shared" si="82"/>
        <v>1772.4</v>
      </c>
      <c r="I57" s="1">
        <f t="shared" si="83"/>
        <v>309.84000000000003</v>
      </c>
      <c r="J57" s="1">
        <f t="shared" si="84"/>
        <v>248.16</v>
      </c>
      <c r="K57" s="1">
        <f t="shared" si="85"/>
        <v>25.200000000000003</v>
      </c>
      <c r="L57" s="1"/>
      <c r="M57" s="1">
        <f t="shared" si="86"/>
        <v>5317.2</v>
      </c>
      <c r="N57" s="1">
        <f t="shared" si="87"/>
        <v>929.52</v>
      </c>
      <c r="O57" s="1">
        <f t="shared" si="88"/>
        <v>744.4799999999999</v>
      </c>
      <c r="P57" s="1">
        <f t="shared" si="89"/>
        <v>63</v>
      </c>
      <c r="Q57" s="1"/>
      <c r="R57" s="1">
        <f t="shared" si="90"/>
        <v>5317.2</v>
      </c>
      <c r="S57" s="1">
        <f t="shared" si="91"/>
        <v>1084.44</v>
      </c>
      <c r="T57" s="1">
        <f t="shared" si="92"/>
        <v>992.64</v>
      </c>
      <c r="U57" s="1">
        <f t="shared" si="93"/>
        <v>88.199999999999989</v>
      </c>
      <c r="V57" s="1"/>
      <c r="W57" s="1">
        <f t="shared" si="94"/>
        <v>5317.2</v>
      </c>
      <c r="X57" s="1">
        <f t="shared" si="95"/>
        <v>774.6</v>
      </c>
      <c r="Y57" s="1">
        <f t="shared" si="96"/>
        <v>496.32</v>
      </c>
      <c r="Z57" s="1">
        <f t="shared" si="97"/>
        <v>75.599999999999994</v>
      </c>
      <c r="AA57" s="1"/>
      <c r="AB57" s="1"/>
      <c r="AC57" s="1"/>
      <c r="AD57" s="1"/>
    </row>
    <row r="58" spans="1:30" ht="13" x14ac:dyDescent="0.15">
      <c r="A58" s="4" t="s">
        <v>30</v>
      </c>
      <c r="B58" s="1">
        <f t="shared" ref="B58:E58" si="105">B11*$K$3</f>
        <v>17112</v>
      </c>
      <c r="C58" s="1">
        <f t="shared" si="105"/>
        <v>2628</v>
      </c>
      <c r="D58" s="1">
        <f t="shared" si="105"/>
        <v>1934.3999999999999</v>
      </c>
      <c r="E58" s="1">
        <f t="shared" si="105"/>
        <v>223.2</v>
      </c>
      <c r="F58" s="1">
        <v>121</v>
      </c>
      <c r="G58" s="1"/>
      <c r="H58" s="1">
        <f t="shared" si="82"/>
        <v>1711.2</v>
      </c>
      <c r="I58" s="1">
        <f t="shared" si="83"/>
        <v>262.8</v>
      </c>
      <c r="J58" s="1">
        <f t="shared" si="84"/>
        <v>193.44</v>
      </c>
      <c r="K58" s="1">
        <f t="shared" si="85"/>
        <v>22.32</v>
      </c>
      <c r="L58" s="1"/>
      <c r="M58" s="1">
        <f t="shared" si="86"/>
        <v>5133.5999999999995</v>
      </c>
      <c r="N58" s="1">
        <f t="shared" si="87"/>
        <v>788.4</v>
      </c>
      <c r="O58" s="1">
        <f t="shared" si="88"/>
        <v>580.31999999999994</v>
      </c>
      <c r="P58" s="1">
        <f t="shared" si="89"/>
        <v>55.8</v>
      </c>
      <c r="Q58" s="1"/>
      <c r="R58" s="1">
        <f t="shared" si="90"/>
        <v>5133.5999999999995</v>
      </c>
      <c r="S58" s="1">
        <f t="shared" si="91"/>
        <v>919.8</v>
      </c>
      <c r="T58" s="1">
        <f t="shared" si="92"/>
        <v>773.76</v>
      </c>
      <c r="U58" s="1">
        <f t="shared" si="93"/>
        <v>78.11999999999999</v>
      </c>
      <c r="V58" s="1"/>
      <c r="W58" s="1">
        <f t="shared" si="94"/>
        <v>5133.5999999999995</v>
      </c>
      <c r="X58" s="1">
        <f t="shared" si="95"/>
        <v>657</v>
      </c>
      <c r="Y58" s="1">
        <f t="shared" si="96"/>
        <v>386.88</v>
      </c>
      <c r="Z58" s="1">
        <f t="shared" si="97"/>
        <v>66.959999999999994</v>
      </c>
      <c r="AA58" s="1"/>
      <c r="AB58" s="1"/>
      <c r="AC58" s="1"/>
      <c r="AD58" s="1"/>
    </row>
    <row r="59" spans="1:30" ht="13" x14ac:dyDescent="0.15">
      <c r="A59" s="2"/>
      <c r="B59" s="2"/>
      <c r="C59" s="2"/>
      <c r="D59" s="2"/>
      <c r="E59" s="2"/>
      <c r="F59" s="2"/>
      <c r="G59" s="1"/>
      <c r="H59" s="1">
        <v>0.1</v>
      </c>
      <c r="I59" s="1">
        <v>0.1</v>
      </c>
      <c r="J59" s="1">
        <v>0.1</v>
      </c>
      <c r="K59" s="1">
        <v>0.1</v>
      </c>
      <c r="L59" s="1"/>
      <c r="M59" s="1">
        <v>0.3</v>
      </c>
      <c r="N59" s="1">
        <v>0.3</v>
      </c>
      <c r="O59" s="1">
        <v>0.3</v>
      </c>
      <c r="P59" s="1">
        <v>0.25</v>
      </c>
      <c r="Q59" s="1"/>
      <c r="R59" s="1">
        <v>0.3</v>
      </c>
      <c r="S59" s="1">
        <v>0.35</v>
      </c>
      <c r="T59" s="1">
        <v>0.4</v>
      </c>
      <c r="U59" s="1">
        <v>0.35</v>
      </c>
      <c r="V59" s="1"/>
      <c r="W59" s="1">
        <v>0.3</v>
      </c>
      <c r="X59" s="1">
        <v>0.25</v>
      </c>
      <c r="Y59" s="1">
        <v>0.2</v>
      </c>
      <c r="Z59" s="1">
        <v>0.3</v>
      </c>
      <c r="AA59" s="1"/>
      <c r="AB59" s="1"/>
      <c r="AC59" s="1"/>
      <c r="AD59" s="1"/>
    </row>
    <row r="60" spans="1:30" ht="13" x14ac:dyDescent="0.15">
      <c r="A60" s="11" t="s">
        <v>12</v>
      </c>
      <c r="B60" s="12"/>
      <c r="C60" s="12"/>
      <c r="D60" s="12"/>
      <c r="E60" s="12"/>
      <c r="F60" s="10"/>
      <c r="G60" s="1"/>
      <c r="H60" s="11" t="s">
        <v>42</v>
      </c>
      <c r="I60" s="12"/>
      <c r="J60" s="12"/>
      <c r="K60" s="10"/>
      <c r="L60" s="1"/>
      <c r="M60" s="11" t="s">
        <v>43</v>
      </c>
      <c r="N60" s="12"/>
      <c r="O60" s="12"/>
      <c r="P60" s="10"/>
      <c r="Q60" s="1"/>
      <c r="R60" s="11" t="s">
        <v>44</v>
      </c>
      <c r="S60" s="12"/>
      <c r="T60" s="12"/>
      <c r="U60" s="10"/>
      <c r="V60" s="1"/>
      <c r="W60" s="11" t="s">
        <v>48</v>
      </c>
      <c r="X60" s="12"/>
      <c r="Y60" s="12"/>
      <c r="Z60" s="10"/>
      <c r="AA60" s="1"/>
      <c r="AB60" s="1"/>
      <c r="AC60" s="1"/>
      <c r="AD60" s="1"/>
    </row>
    <row r="61" spans="1:30" ht="13" x14ac:dyDescent="0.15">
      <c r="A61" s="3" t="s">
        <v>2</v>
      </c>
      <c r="B61" s="3" t="s">
        <v>3</v>
      </c>
      <c r="C61" s="3" t="s">
        <v>4</v>
      </c>
      <c r="D61" s="3" t="s">
        <v>5</v>
      </c>
      <c r="E61" s="3" t="s">
        <v>6</v>
      </c>
      <c r="F61" s="3" t="s">
        <v>7</v>
      </c>
      <c r="G61" s="1"/>
      <c r="H61" s="3" t="s">
        <v>3</v>
      </c>
      <c r="I61" s="3" t="s">
        <v>4</v>
      </c>
      <c r="J61" s="3" t="s">
        <v>5</v>
      </c>
      <c r="K61" s="3" t="s">
        <v>6</v>
      </c>
      <c r="L61" s="1"/>
      <c r="M61" s="3" t="s">
        <v>3</v>
      </c>
      <c r="N61" s="3" t="s">
        <v>4</v>
      </c>
      <c r="O61" s="3" t="s">
        <v>5</v>
      </c>
      <c r="P61" s="3" t="s">
        <v>6</v>
      </c>
      <c r="Q61" s="1"/>
      <c r="R61" s="3" t="s">
        <v>3</v>
      </c>
      <c r="S61" s="3" t="s">
        <v>4</v>
      </c>
      <c r="T61" s="3" t="s">
        <v>5</v>
      </c>
      <c r="U61" s="3" t="s">
        <v>6</v>
      </c>
      <c r="V61" s="1"/>
      <c r="W61" s="3" t="s">
        <v>3</v>
      </c>
      <c r="X61" s="3" t="s">
        <v>4</v>
      </c>
      <c r="Y61" s="3" t="s">
        <v>5</v>
      </c>
      <c r="Z61" s="3" t="s">
        <v>6</v>
      </c>
      <c r="AA61" s="1"/>
      <c r="AB61" s="1"/>
      <c r="AC61" s="1"/>
      <c r="AD61" s="1"/>
    </row>
    <row r="62" spans="1:30" ht="13" x14ac:dyDescent="0.15">
      <c r="A62" s="4" t="s">
        <v>14</v>
      </c>
      <c r="B62" s="1">
        <f t="shared" ref="B62:E62" si="106">B3*$L$3</f>
        <v>14065</v>
      </c>
      <c r="C62" s="1">
        <f t="shared" si="106"/>
        <v>977.5</v>
      </c>
      <c r="D62" s="1">
        <f t="shared" si="106"/>
        <v>250</v>
      </c>
      <c r="E62" s="1">
        <f t="shared" si="106"/>
        <v>77.5</v>
      </c>
      <c r="F62" s="1">
        <v>85</v>
      </c>
      <c r="G62" s="1"/>
      <c r="H62" s="1">
        <f t="shared" ref="H62:H70" si="107">B62*$H$59</f>
        <v>1406.5</v>
      </c>
      <c r="I62" s="1">
        <f t="shared" ref="I62:I70" si="108">C62*$I$59</f>
        <v>97.75</v>
      </c>
      <c r="J62" s="1">
        <f t="shared" ref="J62:J70" si="109">D62*$J$59</f>
        <v>25</v>
      </c>
      <c r="K62" s="1">
        <f t="shared" ref="K62:K70" si="110">E62*$K$59</f>
        <v>7.75</v>
      </c>
      <c r="L62" s="1"/>
      <c r="M62" s="1">
        <f t="shared" ref="M62:M70" si="111">B62*$M$59</f>
        <v>4219.5</v>
      </c>
      <c r="N62" s="1">
        <f t="shared" ref="N62:N70" si="112">C62*$N$59</f>
        <v>293.25</v>
      </c>
      <c r="O62" s="1">
        <f t="shared" ref="O62:O70" si="113">D62*$O$59</f>
        <v>75</v>
      </c>
      <c r="P62" s="1">
        <f t="shared" ref="P62:P70" si="114">E62*$P$59</f>
        <v>19.375</v>
      </c>
      <c r="Q62" s="1"/>
      <c r="R62" s="1">
        <f t="shared" ref="R62:R70" si="115">B62*$R$59</f>
        <v>4219.5</v>
      </c>
      <c r="S62" s="1">
        <f t="shared" ref="S62:S70" si="116">C62*$S$59</f>
        <v>342.125</v>
      </c>
      <c r="T62" s="1">
        <f t="shared" ref="T62:T70" si="117">D62*$T$59</f>
        <v>100</v>
      </c>
      <c r="U62" s="1">
        <f t="shared" ref="U62:U70" si="118">E62*$U$59</f>
        <v>27.125</v>
      </c>
      <c r="V62" s="1"/>
      <c r="W62" s="1">
        <f t="shared" ref="W62:W70" si="119">B62*$W$59</f>
        <v>4219.5</v>
      </c>
      <c r="X62" s="1">
        <f t="shared" ref="X62:X70" si="120">C62*$X$59</f>
        <v>244.375</v>
      </c>
      <c r="Y62" s="1">
        <f t="shared" ref="Y62:Y70" si="121">D62*$Y$59</f>
        <v>50</v>
      </c>
      <c r="Z62" s="1">
        <f t="shared" ref="Z62:Z70" si="122">E62*$Z$59</f>
        <v>23.25</v>
      </c>
      <c r="AA62" s="1"/>
      <c r="AB62" s="1"/>
      <c r="AC62" s="1"/>
      <c r="AD62" s="1"/>
    </row>
    <row r="63" spans="1:30" ht="13" x14ac:dyDescent="0.15">
      <c r="A63" s="4" t="s">
        <v>15</v>
      </c>
      <c r="B63" s="1">
        <f t="shared" ref="B63:E63" si="123">B4*$L$3</f>
        <v>13717.5</v>
      </c>
      <c r="C63" s="1">
        <f t="shared" si="123"/>
        <v>910</v>
      </c>
      <c r="D63" s="1">
        <f t="shared" si="123"/>
        <v>350</v>
      </c>
      <c r="E63" s="1">
        <f t="shared" si="123"/>
        <v>75</v>
      </c>
      <c r="F63" s="1">
        <v>81</v>
      </c>
      <c r="G63" s="1"/>
      <c r="H63" s="1">
        <f t="shared" si="107"/>
        <v>1371.75</v>
      </c>
      <c r="I63" s="1">
        <f t="shared" si="108"/>
        <v>91</v>
      </c>
      <c r="J63" s="1">
        <f t="shared" si="109"/>
        <v>35</v>
      </c>
      <c r="K63" s="1">
        <f t="shared" si="110"/>
        <v>7.5</v>
      </c>
      <c r="L63" s="1"/>
      <c r="M63" s="1">
        <f t="shared" si="111"/>
        <v>4115.25</v>
      </c>
      <c r="N63" s="1">
        <f t="shared" si="112"/>
        <v>273</v>
      </c>
      <c r="O63" s="1">
        <f t="shared" si="113"/>
        <v>105</v>
      </c>
      <c r="P63" s="1">
        <f t="shared" si="114"/>
        <v>18.75</v>
      </c>
      <c r="Q63" s="1"/>
      <c r="R63" s="1">
        <f t="shared" si="115"/>
        <v>4115.25</v>
      </c>
      <c r="S63" s="1">
        <f t="shared" si="116"/>
        <v>318.5</v>
      </c>
      <c r="T63" s="1">
        <f t="shared" si="117"/>
        <v>140</v>
      </c>
      <c r="U63" s="1">
        <f t="shared" si="118"/>
        <v>26.25</v>
      </c>
      <c r="V63" s="1"/>
      <c r="W63" s="1">
        <f t="shared" si="119"/>
        <v>4115.25</v>
      </c>
      <c r="X63" s="1">
        <f t="shared" si="120"/>
        <v>227.5</v>
      </c>
      <c r="Y63" s="1">
        <f t="shared" si="121"/>
        <v>70</v>
      </c>
      <c r="Z63" s="1">
        <f t="shared" si="122"/>
        <v>22.5</v>
      </c>
      <c r="AA63" s="1"/>
      <c r="AB63" s="1"/>
      <c r="AC63" s="1"/>
      <c r="AD63" s="1"/>
    </row>
    <row r="64" spans="1:30" ht="13" x14ac:dyDescent="0.15">
      <c r="A64" s="4" t="s">
        <v>18</v>
      </c>
      <c r="B64" s="1">
        <f t="shared" ref="B64:E64" si="124">B5*$L$3</f>
        <v>15772.5</v>
      </c>
      <c r="C64" s="1">
        <f t="shared" si="124"/>
        <v>1407.5</v>
      </c>
      <c r="D64" s="1">
        <f t="shared" si="124"/>
        <v>710</v>
      </c>
      <c r="E64" s="1">
        <f t="shared" si="124"/>
        <v>132.5</v>
      </c>
      <c r="F64" s="1">
        <v>103</v>
      </c>
      <c r="G64" s="1"/>
      <c r="H64" s="1">
        <f t="shared" si="107"/>
        <v>1577.25</v>
      </c>
      <c r="I64" s="1">
        <f t="shared" si="108"/>
        <v>140.75</v>
      </c>
      <c r="J64" s="1">
        <f t="shared" si="109"/>
        <v>71</v>
      </c>
      <c r="K64" s="1">
        <f t="shared" si="110"/>
        <v>13.25</v>
      </c>
      <c r="L64" s="1"/>
      <c r="M64" s="1">
        <f t="shared" si="111"/>
        <v>4731.75</v>
      </c>
      <c r="N64" s="1">
        <f t="shared" si="112"/>
        <v>422.25</v>
      </c>
      <c r="O64" s="1">
        <f t="shared" si="113"/>
        <v>213</v>
      </c>
      <c r="P64" s="1">
        <f t="shared" si="114"/>
        <v>33.125</v>
      </c>
      <c r="Q64" s="1"/>
      <c r="R64" s="1">
        <f t="shared" si="115"/>
        <v>4731.75</v>
      </c>
      <c r="S64" s="1">
        <f t="shared" si="116"/>
        <v>492.62499999999994</v>
      </c>
      <c r="T64" s="1">
        <f t="shared" si="117"/>
        <v>284</v>
      </c>
      <c r="U64" s="1">
        <f t="shared" si="118"/>
        <v>46.375</v>
      </c>
      <c r="V64" s="1"/>
      <c r="W64" s="1">
        <f t="shared" si="119"/>
        <v>4731.75</v>
      </c>
      <c r="X64" s="1">
        <f t="shared" si="120"/>
        <v>351.875</v>
      </c>
      <c r="Y64" s="1">
        <f t="shared" si="121"/>
        <v>142</v>
      </c>
      <c r="Z64" s="1">
        <f t="shared" si="122"/>
        <v>39.75</v>
      </c>
      <c r="AA64" s="1"/>
      <c r="AB64" s="1"/>
      <c r="AC64" s="1"/>
      <c r="AD64" s="1"/>
    </row>
    <row r="65" spans="1:30" ht="13" x14ac:dyDescent="0.15">
      <c r="A65" s="4" t="s">
        <v>20</v>
      </c>
      <c r="B65" s="1">
        <f t="shared" ref="B65:E65" si="125">B6*$L$3</f>
        <v>15997.5</v>
      </c>
      <c r="C65" s="1">
        <f t="shared" si="125"/>
        <v>1745</v>
      </c>
      <c r="D65" s="1">
        <f t="shared" si="125"/>
        <v>890</v>
      </c>
      <c r="E65" s="1">
        <f t="shared" si="125"/>
        <v>177.5</v>
      </c>
      <c r="F65" s="1">
        <v>106</v>
      </c>
      <c r="G65" s="1"/>
      <c r="H65" s="1">
        <f t="shared" si="107"/>
        <v>1599.75</v>
      </c>
      <c r="I65" s="1">
        <f t="shared" si="108"/>
        <v>174.5</v>
      </c>
      <c r="J65" s="1">
        <f t="shared" si="109"/>
        <v>89</v>
      </c>
      <c r="K65" s="1">
        <f t="shared" si="110"/>
        <v>17.75</v>
      </c>
      <c r="L65" s="1"/>
      <c r="M65" s="1">
        <f t="shared" si="111"/>
        <v>4799.25</v>
      </c>
      <c r="N65" s="1">
        <f t="shared" si="112"/>
        <v>523.5</v>
      </c>
      <c r="O65" s="1">
        <f t="shared" si="113"/>
        <v>267</v>
      </c>
      <c r="P65" s="1">
        <f t="shared" si="114"/>
        <v>44.375</v>
      </c>
      <c r="Q65" s="1"/>
      <c r="R65" s="1">
        <f t="shared" si="115"/>
        <v>4799.25</v>
      </c>
      <c r="S65" s="1">
        <f t="shared" si="116"/>
        <v>610.75</v>
      </c>
      <c r="T65" s="1">
        <f t="shared" si="117"/>
        <v>356</v>
      </c>
      <c r="U65" s="1">
        <f t="shared" si="118"/>
        <v>62.124999999999993</v>
      </c>
      <c r="V65" s="1"/>
      <c r="W65" s="1">
        <f t="shared" si="119"/>
        <v>4799.25</v>
      </c>
      <c r="X65" s="1">
        <f t="shared" si="120"/>
        <v>436.25</v>
      </c>
      <c r="Y65" s="1">
        <f t="shared" si="121"/>
        <v>178</v>
      </c>
      <c r="Z65" s="1">
        <f t="shared" si="122"/>
        <v>53.25</v>
      </c>
      <c r="AA65" s="1"/>
      <c r="AB65" s="1"/>
      <c r="AC65" s="1"/>
      <c r="AD65" s="1"/>
    </row>
    <row r="66" spans="1:30" ht="13" x14ac:dyDescent="0.15">
      <c r="A66" s="4" t="s">
        <v>22</v>
      </c>
      <c r="B66" s="1">
        <f t="shared" ref="B66:E66" si="126">B7*$L$3</f>
        <v>16210</v>
      </c>
      <c r="C66" s="1">
        <f t="shared" si="126"/>
        <v>2982.5</v>
      </c>
      <c r="D66" s="1">
        <f t="shared" si="126"/>
        <v>2047.5</v>
      </c>
      <c r="E66" s="1">
        <f t="shared" si="126"/>
        <v>255</v>
      </c>
      <c r="F66" s="1">
        <v>106</v>
      </c>
      <c r="G66" s="1"/>
      <c r="H66" s="1">
        <f t="shared" si="107"/>
        <v>1621</v>
      </c>
      <c r="I66" s="1">
        <f t="shared" si="108"/>
        <v>298.25</v>
      </c>
      <c r="J66" s="1">
        <f t="shared" si="109"/>
        <v>204.75</v>
      </c>
      <c r="K66" s="1">
        <f t="shared" si="110"/>
        <v>25.5</v>
      </c>
      <c r="L66" s="1"/>
      <c r="M66" s="1">
        <f t="shared" si="111"/>
        <v>4863</v>
      </c>
      <c r="N66" s="1">
        <f t="shared" si="112"/>
        <v>894.75</v>
      </c>
      <c r="O66" s="1">
        <f t="shared" si="113"/>
        <v>614.25</v>
      </c>
      <c r="P66" s="1">
        <f t="shared" si="114"/>
        <v>63.75</v>
      </c>
      <c r="Q66" s="1"/>
      <c r="R66" s="1">
        <f t="shared" si="115"/>
        <v>4863</v>
      </c>
      <c r="S66" s="1">
        <f t="shared" si="116"/>
        <v>1043.875</v>
      </c>
      <c r="T66" s="1">
        <f t="shared" si="117"/>
        <v>819</v>
      </c>
      <c r="U66" s="1">
        <f t="shared" si="118"/>
        <v>89.25</v>
      </c>
      <c r="V66" s="1"/>
      <c r="W66" s="1">
        <f t="shared" si="119"/>
        <v>4863</v>
      </c>
      <c r="X66" s="1">
        <f t="shared" si="120"/>
        <v>745.625</v>
      </c>
      <c r="Y66" s="1">
        <f t="shared" si="121"/>
        <v>409.5</v>
      </c>
      <c r="Z66" s="1">
        <f t="shared" si="122"/>
        <v>76.5</v>
      </c>
      <c r="AA66" s="1"/>
      <c r="AB66" s="1"/>
      <c r="AC66" s="1"/>
      <c r="AD66" s="1"/>
    </row>
    <row r="67" spans="1:30" ht="13" x14ac:dyDescent="0.15">
      <c r="A67" s="4" t="s">
        <v>24</v>
      </c>
      <c r="B67" s="1">
        <f t="shared" ref="B67:E67" si="127">B8*$L$3</f>
        <v>15140</v>
      </c>
      <c r="C67" s="1">
        <f t="shared" si="127"/>
        <v>1652.5</v>
      </c>
      <c r="D67" s="1">
        <f t="shared" si="127"/>
        <v>672.5</v>
      </c>
      <c r="E67" s="1">
        <f t="shared" si="127"/>
        <v>217.5</v>
      </c>
      <c r="F67" s="1">
        <v>95</v>
      </c>
      <c r="G67" s="1"/>
      <c r="H67" s="1">
        <f t="shared" si="107"/>
        <v>1514</v>
      </c>
      <c r="I67" s="1">
        <f t="shared" si="108"/>
        <v>165.25</v>
      </c>
      <c r="J67" s="1">
        <f t="shared" si="109"/>
        <v>67.25</v>
      </c>
      <c r="K67" s="1">
        <f t="shared" si="110"/>
        <v>21.75</v>
      </c>
      <c r="L67" s="1"/>
      <c r="M67" s="1">
        <f t="shared" si="111"/>
        <v>4542</v>
      </c>
      <c r="N67" s="1">
        <f t="shared" si="112"/>
        <v>495.75</v>
      </c>
      <c r="O67" s="1">
        <f t="shared" si="113"/>
        <v>201.75</v>
      </c>
      <c r="P67" s="1">
        <f t="shared" si="114"/>
        <v>54.375</v>
      </c>
      <c r="Q67" s="1"/>
      <c r="R67" s="1">
        <f t="shared" si="115"/>
        <v>4542</v>
      </c>
      <c r="S67" s="1">
        <f t="shared" si="116"/>
        <v>578.375</v>
      </c>
      <c r="T67" s="1">
        <f t="shared" si="117"/>
        <v>269</v>
      </c>
      <c r="U67" s="1">
        <f t="shared" si="118"/>
        <v>76.125</v>
      </c>
      <c r="V67" s="1"/>
      <c r="W67" s="1">
        <f t="shared" si="119"/>
        <v>4542</v>
      </c>
      <c r="X67" s="1">
        <f t="shared" si="120"/>
        <v>413.125</v>
      </c>
      <c r="Y67" s="1">
        <f t="shared" si="121"/>
        <v>134.5</v>
      </c>
      <c r="Z67" s="1">
        <f t="shared" si="122"/>
        <v>65.25</v>
      </c>
      <c r="AA67" s="1"/>
      <c r="AB67" s="1"/>
      <c r="AC67" s="1"/>
      <c r="AD67" s="1"/>
    </row>
    <row r="68" spans="1:30" ht="13" x14ac:dyDescent="0.15">
      <c r="A68" s="4" t="s">
        <v>26</v>
      </c>
      <c r="B68" s="1">
        <f t="shared" ref="B68:E68" si="128">B9*$L$3</f>
        <v>16892.5</v>
      </c>
      <c r="C68" s="1">
        <f t="shared" si="128"/>
        <v>2687.5</v>
      </c>
      <c r="D68" s="1">
        <f t="shared" si="128"/>
        <v>1832.5</v>
      </c>
      <c r="E68" s="1">
        <f t="shared" si="128"/>
        <v>282.5</v>
      </c>
      <c r="F68" s="1">
        <v>112</v>
      </c>
      <c r="G68" s="1"/>
      <c r="H68" s="1">
        <f t="shared" si="107"/>
        <v>1689.25</v>
      </c>
      <c r="I68" s="1">
        <f t="shared" si="108"/>
        <v>268.75</v>
      </c>
      <c r="J68" s="1">
        <f t="shared" si="109"/>
        <v>183.25</v>
      </c>
      <c r="K68" s="1">
        <f t="shared" si="110"/>
        <v>28.25</v>
      </c>
      <c r="L68" s="1"/>
      <c r="M68" s="1">
        <f t="shared" si="111"/>
        <v>5067.75</v>
      </c>
      <c r="N68" s="1">
        <f t="shared" si="112"/>
        <v>806.25</v>
      </c>
      <c r="O68" s="1">
        <f t="shared" si="113"/>
        <v>549.75</v>
      </c>
      <c r="P68" s="1">
        <f t="shared" si="114"/>
        <v>70.625</v>
      </c>
      <c r="Q68" s="1"/>
      <c r="R68" s="1">
        <f t="shared" si="115"/>
        <v>5067.75</v>
      </c>
      <c r="S68" s="1">
        <f t="shared" si="116"/>
        <v>940.62499999999989</v>
      </c>
      <c r="T68" s="1">
        <f t="shared" si="117"/>
        <v>733</v>
      </c>
      <c r="U68" s="1">
        <f t="shared" si="118"/>
        <v>98.875</v>
      </c>
      <c r="V68" s="1"/>
      <c r="W68" s="1">
        <f t="shared" si="119"/>
        <v>5067.75</v>
      </c>
      <c r="X68" s="1">
        <f t="shared" si="120"/>
        <v>671.875</v>
      </c>
      <c r="Y68" s="1">
        <f t="shared" si="121"/>
        <v>366.5</v>
      </c>
      <c r="Z68" s="1">
        <f t="shared" si="122"/>
        <v>84.75</v>
      </c>
      <c r="AA68" s="1"/>
      <c r="AB68" s="1"/>
      <c r="AC68" s="1"/>
      <c r="AD68" s="1"/>
    </row>
    <row r="69" spans="1:30" ht="13" x14ac:dyDescent="0.15">
      <c r="A69" s="4" t="s">
        <v>28</v>
      </c>
      <c r="B69" s="1">
        <f t="shared" ref="B69:E69" si="129">B10*$L$3</f>
        <v>18462.5</v>
      </c>
      <c r="C69" s="1">
        <f t="shared" si="129"/>
        <v>3227.5</v>
      </c>
      <c r="D69" s="1">
        <f t="shared" si="129"/>
        <v>2585</v>
      </c>
      <c r="E69" s="1">
        <f t="shared" si="129"/>
        <v>262.5</v>
      </c>
      <c r="F69" s="1">
        <v>130</v>
      </c>
      <c r="G69" s="1"/>
      <c r="H69" s="1">
        <f t="shared" si="107"/>
        <v>1846.25</v>
      </c>
      <c r="I69" s="1">
        <f t="shared" si="108"/>
        <v>322.75</v>
      </c>
      <c r="J69" s="1">
        <f t="shared" si="109"/>
        <v>258.5</v>
      </c>
      <c r="K69" s="1">
        <f t="shared" si="110"/>
        <v>26.25</v>
      </c>
      <c r="L69" s="1"/>
      <c r="M69" s="1">
        <f t="shared" si="111"/>
        <v>5538.75</v>
      </c>
      <c r="N69" s="1">
        <f t="shared" si="112"/>
        <v>968.25</v>
      </c>
      <c r="O69" s="1">
        <f t="shared" si="113"/>
        <v>775.5</v>
      </c>
      <c r="P69" s="1">
        <f t="shared" si="114"/>
        <v>65.625</v>
      </c>
      <c r="Q69" s="1"/>
      <c r="R69" s="1">
        <f t="shared" si="115"/>
        <v>5538.75</v>
      </c>
      <c r="S69" s="1">
        <f t="shared" si="116"/>
        <v>1129.625</v>
      </c>
      <c r="T69" s="1">
        <f t="shared" si="117"/>
        <v>1034</v>
      </c>
      <c r="U69" s="1">
        <f t="shared" si="118"/>
        <v>91.875</v>
      </c>
      <c r="V69" s="1"/>
      <c r="W69" s="1">
        <f t="shared" si="119"/>
        <v>5538.75</v>
      </c>
      <c r="X69" s="1">
        <f t="shared" si="120"/>
        <v>806.875</v>
      </c>
      <c r="Y69" s="1">
        <f t="shared" si="121"/>
        <v>517</v>
      </c>
      <c r="Z69" s="1">
        <f t="shared" si="122"/>
        <v>78.75</v>
      </c>
      <c r="AA69" s="1"/>
      <c r="AB69" s="1"/>
      <c r="AC69" s="1"/>
      <c r="AD69" s="1"/>
    </row>
    <row r="70" spans="1:30" ht="13" x14ac:dyDescent="0.15">
      <c r="A70" s="4" t="s">
        <v>30</v>
      </c>
      <c r="B70" s="1">
        <f t="shared" ref="B70:E70" si="130">B11*$L$3</f>
        <v>17825</v>
      </c>
      <c r="C70" s="1">
        <f t="shared" si="130"/>
        <v>2737.5</v>
      </c>
      <c r="D70" s="1">
        <f t="shared" si="130"/>
        <v>2015</v>
      </c>
      <c r="E70" s="1">
        <f t="shared" si="130"/>
        <v>232.5</v>
      </c>
      <c r="F70" s="1">
        <v>121</v>
      </c>
      <c r="G70" s="1"/>
      <c r="H70" s="1">
        <f t="shared" si="107"/>
        <v>1782.5</v>
      </c>
      <c r="I70" s="1">
        <f t="shared" si="108"/>
        <v>273.75</v>
      </c>
      <c r="J70" s="1">
        <f t="shared" si="109"/>
        <v>201.5</v>
      </c>
      <c r="K70" s="1">
        <f t="shared" si="110"/>
        <v>23.25</v>
      </c>
      <c r="L70" s="1"/>
      <c r="M70" s="1">
        <f t="shared" si="111"/>
        <v>5347.5</v>
      </c>
      <c r="N70" s="1">
        <f t="shared" si="112"/>
        <v>821.25</v>
      </c>
      <c r="O70" s="1">
        <f t="shared" si="113"/>
        <v>604.5</v>
      </c>
      <c r="P70" s="1">
        <f t="shared" si="114"/>
        <v>58.125</v>
      </c>
      <c r="Q70" s="1"/>
      <c r="R70" s="1">
        <f t="shared" si="115"/>
        <v>5347.5</v>
      </c>
      <c r="S70" s="1">
        <f t="shared" si="116"/>
        <v>958.12499999999989</v>
      </c>
      <c r="T70" s="1">
        <f t="shared" si="117"/>
        <v>806</v>
      </c>
      <c r="U70" s="1">
        <f t="shared" si="118"/>
        <v>81.375</v>
      </c>
      <c r="V70" s="1"/>
      <c r="W70" s="1">
        <f t="shared" si="119"/>
        <v>5347.5</v>
      </c>
      <c r="X70" s="1">
        <f t="shared" si="120"/>
        <v>684.375</v>
      </c>
      <c r="Y70" s="1">
        <f t="shared" si="121"/>
        <v>403</v>
      </c>
      <c r="Z70" s="1">
        <f t="shared" si="122"/>
        <v>69.75</v>
      </c>
      <c r="AA70" s="1"/>
      <c r="AB70" s="1"/>
      <c r="AC70" s="1"/>
      <c r="AD70" s="1"/>
    </row>
    <row r="71" spans="1:30" ht="13" x14ac:dyDescent="0.15">
      <c r="A71" s="2"/>
      <c r="B71" s="2"/>
      <c r="C71" s="2"/>
      <c r="D71" s="2"/>
      <c r="E71" s="2"/>
      <c r="F71" s="2"/>
      <c r="G71" s="1"/>
      <c r="H71" s="1">
        <v>0.1</v>
      </c>
      <c r="I71" s="1">
        <v>0.05</v>
      </c>
      <c r="J71" s="1">
        <v>0.02</v>
      </c>
      <c r="K71" s="1">
        <v>0.05</v>
      </c>
      <c r="L71" s="1"/>
      <c r="M71" s="1">
        <v>0.3</v>
      </c>
      <c r="N71" s="1">
        <v>0.35</v>
      </c>
      <c r="O71" s="1">
        <v>0.28000000000000003</v>
      </c>
      <c r="P71" s="1">
        <v>0.35</v>
      </c>
      <c r="Q71" s="1"/>
      <c r="R71" s="1">
        <v>0.25</v>
      </c>
      <c r="S71" s="1">
        <v>0.25</v>
      </c>
      <c r="T71" s="1">
        <v>0.3</v>
      </c>
      <c r="U71" s="1">
        <v>0.25</v>
      </c>
      <c r="V71" s="1"/>
      <c r="W71" s="1">
        <v>0.35</v>
      </c>
      <c r="X71" s="1">
        <v>0.35</v>
      </c>
      <c r="Y71" s="1">
        <v>0.4</v>
      </c>
      <c r="Z71" s="1">
        <v>0.35</v>
      </c>
      <c r="AA71" s="1"/>
      <c r="AB71" s="1"/>
      <c r="AC71" s="1"/>
      <c r="AD71" s="1"/>
    </row>
    <row r="72" spans="1:30" ht="13" x14ac:dyDescent="0.15">
      <c r="A72" s="11" t="s">
        <v>13</v>
      </c>
      <c r="B72" s="12"/>
      <c r="C72" s="12"/>
      <c r="D72" s="12"/>
      <c r="E72" s="12"/>
      <c r="F72" s="10"/>
      <c r="G72" s="1"/>
      <c r="H72" s="11" t="s">
        <v>42</v>
      </c>
      <c r="I72" s="12"/>
      <c r="J72" s="12"/>
      <c r="K72" s="10"/>
      <c r="L72" s="1"/>
      <c r="M72" s="11" t="s">
        <v>43</v>
      </c>
      <c r="N72" s="12"/>
      <c r="O72" s="12"/>
      <c r="P72" s="10"/>
      <c r="Q72" s="1"/>
      <c r="R72" s="11" t="s">
        <v>44</v>
      </c>
      <c r="S72" s="12"/>
      <c r="T72" s="12"/>
      <c r="U72" s="10"/>
      <c r="V72" s="1"/>
      <c r="W72" s="11" t="s">
        <v>50</v>
      </c>
      <c r="X72" s="12"/>
      <c r="Y72" s="12"/>
      <c r="Z72" s="10"/>
      <c r="AA72" s="1"/>
      <c r="AB72" s="1"/>
      <c r="AC72" s="1"/>
      <c r="AD72" s="1"/>
    </row>
    <row r="73" spans="1:30" ht="13" x14ac:dyDescent="0.15">
      <c r="A73" s="3" t="s">
        <v>2</v>
      </c>
      <c r="B73" s="3" t="s">
        <v>3</v>
      </c>
      <c r="C73" s="3" t="s">
        <v>4</v>
      </c>
      <c r="D73" s="3" t="s">
        <v>5</v>
      </c>
      <c r="E73" s="3" t="s">
        <v>6</v>
      </c>
      <c r="F73" s="3" t="s">
        <v>7</v>
      </c>
      <c r="G73" s="1"/>
      <c r="H73" s="3" t="s">
        <v>3</v>
      </c>
      <c r="I73" s="3" t="s">
        <v>4</v>
      </c>
      <c r="J73" s="3" t="s">
        <v>5</v>
      </c>
      <c r="K73" s="3" t="s">
        <v>6</v>
      </c>
      <c r="L73" s="1"/>
      <c r="M73" s="3" t="s">
        <v>3</v>
      </c>
      <c r="N73" s="3" t="s">
        <v>4</v>
      </c>
      <c r="O73" s="3" t="s">
        <v>5</v>
      </c>
      <c r="P73" s="3" t="s">
        <v>6</v>
      </c>
      <c r="Q73" s="1"/>
      <c r="R73" s="3" t="s">
        <v>3</v>
      </c>
      <c r="S73" s="3" t="s">
        <v>4</v>
      </c>
      <c r="T73" s="3" t="s">
        <v>5</v>
      </c>
      <c r="U73" s="3" t="s">
        <v>6</v>
      </c>
      <c r="V73" s="1"/>
      <c r="W73" s="3" t="s">
        <v>3</v>
      </c>
      <c r="X73" s="3" t="s">
        <v>4</v>
      </c>
      <c r="Y73" s="3" t="s">
        <v>5</v>
      </c>
      <c r="Z73" s="3" t="s">
        <v>6</v>
      </c>
      <c r="AA73" s="1"/>
      <c r="AB73" s="1"/>
      <c r="AC73" s="1"/>
      <c r="AD73" s="1"/>
    </row>
    <row r="74" spans="1:30" ht="13" x14ac:dyDescent="0.15">
      <c r="A74" s="4" t="s">
        <v>14</v>
      </c>
      <c r="B74" s="1">
        <f t="shared" ref="B74:E74" si="131">B3*$M$3</f>
        <v>14627.6</v>
      </c>
      <c r="C74" s="1">
        <f t="shared" si="131"/>
        <v>1016.6</v>
      </c>
      <c r="D74" s="1">
        <f t="shared" si="131"/>
        <v>260</v>
      </c>
      <c r="E74" s="1">
        <f t="shared" si="131"/>
        <v>80.600000000000009</v>
      </c>
      <c r="F74" s="1">
        <v>85</v>
      </c>
      <c r="G74" s="1"/>
      <c r="H74" s="1">
        <f t="shared" ref="H74:H82" si="132">B74*$H$71</f>
        <v>1462.7600000000002</v>
      </c>
      <c r="I74" s="1">
        <f t="shared" ref="I74:I82" si="133">C74*$I$71</f>
        <v>50.830000000000005</v>
      </c>
      <c r="J74" s="1">
        <f t="shared" ref="J74:J82" si="134">D74*$J$71</f>
        <v>5.2</v>
      </c>
      <c r="K74" s="1">
        <f t="shared" ref="K74:K82" si="135">E74*$K$71</f>
        <v>4.03</v>
      </c>
      <c r="L74" s="1"/>
      <c r="M74" s="1">
        <f t="shared" ref="M74:M82" si="136">B74*$M$71</f>
        <v>4388.28</v>
      </c>
      <c r="N74" s="1">
        <f t="shared" ref="N74:N82" si="137">C74*$N$71</f>
        <v>355.81</v>
      </c>
      <c r="O74" s="1">
        <f t="shared" ref="O74:O82" si="138">D74*$O$71</f>
        <v>72.800000000000011</v>
      </c>
      <c r="P74" s="1">
        <f t="shared" ref="P74:P82" si="139">E74*$P$71</f>
        <v>28.21</v>
      </c>
      <c r="Q74" s="1"/>
      <c r="R74" s="1">
        <f t="shared" ref="R74:R82" si="140">B74*$R$71</f>
        <v>3656.9</v>
      </c>
      <c r="S74" s="1">
        <f t="shared" ref="S74:S82" si="141">C74*$S$71</f>
        <v>254.15</v>
      </c>
      <c r="T74" s="1">
        <f t="shared" ref="T74:T82" si="142">D74*$T$71</f>
        <v>78</v>
      </c>
      <c r="U74" s="1">
        <f t="shared" ref="U74:U82" si="143">E74*$U$71</f>
        <v>20.150000000000002</v>
      </c>
      <c r="V74" s="1"/>
      <c r="W74" s="1">
        <f t="shared" ref="W74:W82" si="144">B74*$W$71</f>
        <v>5119.66</v>
      </c>
      <c r="X74" s="1">
        <f t="shared" ref="X74:X82" si="145">C74*$X$71</f>
        <v>355.81</v>
      </c>
      <c r="Y74" s="1">
        <f t="shared" ref="Y74:Y82" si="146">D74*$Y$71</f>
        <v>104</v>
      </c>
      <c r="Z74" s="1">
        <f t="shared" ref="Z74:Z82" si="147">E74*$Z$71</f>
        <v>28.21</v>
      </c>
      <c r="AA74" s="1"/>
      <c r="AB74" s="1"/>
      <c r="AC74" s="1"/>
      <c r="AD74" s="1"/>
    </row>
    <row r="75" spans="1:30" ht="13" x14ac:dyDescent="0.15">
      <c r="A75" s="4" t="s">
        <v>15</v>
      </c>
      <c r="B75" s="1">
        <f t="shared" ref="B75:E75" si="148">B4*$M$3</f>
        <v>14266.2</v>
      </c>
      <c r="C75" s="1">
        <f t="shared" si="148"/>
        <v>946.4</v>
      </c>
      <c r="D75" s="1">
        <f t="shared" si="148"/>
        <v>364</v>
      </c>
      <c r="E75" s="1">
        <f t="shared" si="148"/>
        <v>78</v>
      </c>
      <c r="F75" s="1">
        <v>81</v>
      </c>
      <c r="G75" s="1"/>
      <c r="H75" s="1">
        <f t="shared" si="132"/>
        <v>1426.6200000000001</v>
      </c>
      <c r="I75" s="1">
        <f t="shared" si="133"/>
        <v>47.32</v>
      </c>
      <c r="J75" s="1">
        <f t="shared" si="134"/>
        <v>7.28</v>
      </c>
      <c r="K75" s="1">
        <f t="shared" si="135"/>
        <v>3.9000000000000004</v>
      </c>
      <c r="L75" s="1"/>
      <c r="M75" s="1">
        <f t="shared" si="136"/>
        <v>4279.8599999999997</v>
      </c>
      <c r="N75" s="1">
        <f t="shared" si="137"/>
        <v>331.23999999999995</v>
      </c>
      <c r="O75" s="1">
        <f t="shared" si="138"/>
        <v>101.92000000000002</v>
      </c>
      <c r="P75" s="1">
        <f t="shared" si="139"/>
        <v>27.299999999999997</v>
      </c>
      <c r="Q75" s="1"/>
      <c r="R75" s="1">
        <f t="shared" si="140"/>
        <v>3566.55</v>
      </c>
      <c r="S75" s="1">
        <f t="shared" si="141"/>
        <v>236.6</v>
      </c>
      <c r="T75" s="1">
        <f t="shared" si="142"/>
        <v>109.2</v>
      </c>
      <c r="U75" s="1">
        <f t="shared" si="143"/>
        <v>19.5</v>
      </c>
      <c r="V75" s="1"/>
      <c r="W75" s="1">
        <f t="shared" si="144"/>
        <v>4993.17</v>
      </c>
      <c r="X75" s="1">
        <f t="shared" si="145"/>
        <v>331.23999999999995</v>
      </c>
      <c r="Y75" s="1">
        <f t="shared" si="146"/>
        <v>145.6</v>
      </c>
      <c r="Z75" s="1">
        <f t="shared" si="147"/>
        <v>27.299999999999997</v>
      </c>
      <c r="AA75" s="1"/>
      <c r="AB75" s="1"/>
      <c r="AC75" s="1"/>
      <c r="AD75" s="1"/>
    </row>
    <row r="76" spans="1:30" ht="13" x14ac:dyDescent="0.15">
      <c r="A76" s="4" t="s">
        <v>18</v>
      </c>
      <c r="B76" s="1">
        <f t="shared" ref="B76:E76" si="149">B5*$M$3</f>
        <v>16403.400000000001</v>
      </c>
      <c r="C76" s="1">
        <f t="shared" si="149"/>
        <v>1463.8</v>
      </c>
      <c r="D76" s="1">
        <f t="shared" si="149"/>
        <v>738.4</v>
      </c>
      <c r="E76" s="1">
        <f t="shared" si="149"/>
        <v>137.80000000000001</v>
      </c>
      <c r="F76" s="1">
        <v>103</v>
      </c>
      <c r="G76" s="1"/>
      <c r="H76" s="1">
        <f t="shared" si="132"/>
        <v>1640.3400000000001</v>
      </c>
      <c r="I76" s="1">
        <f t="shared" si="133"/>
        <v>73.19</v>
      </c>
      <c r="J76" s="1">
        <f t="shared" si="134"/>
        <v>14.768000000000001</v>
      </c>
      <c r="K76" s="1">
        <f t="shared" si="135"/>
        <v>6.8900000000000006</v>
      </c>
      <c r="L76" s="1"/>
      <c r="M76" s="1">
        <f t="shared" si="136"/>
        <v>4921.0200000000004</v>
      </c>
      <c r="N76" s="1">
        <f t="shared" si="137"/>
        <v>512.32999999999993</v>
      </c>
      <c r="O76" s="1">
        <f t="shared" si="138"/>
        <v>206.75200000000001</v>
      </c>
      <c r="P76" s="1">
        <f t="shared" si="139"/>
        <v>48.230000000000004</v>
      </c>
      <c r="Q76" s="1"/>
      <c r="R76" s="1">
        <f t="shared" si="140"/>
        <v>4100.8500000000004</v>
      </c>
      <c r="S76" s="1">
        <f t="shared" si="141"/>
        <v>365.95</v>
      </c>
      <c r="T76" s="1">
        <f t="shared" si="142"/>
        <v>221.51999999999998</v>
      </c>
      <c r="U76" s="1">
        <f t="shared" si="143"/>
        <v>34.450000000000003</v>
      </c>
      <c r="V76" s="1"/>
      <c r="W76" s="1">
        <f t="shared" si="144"/>
        <v>5741.1900000000005</v>
      </c>
      <c r="X76" s="1">
        <f t="shared" si="145"/>
        <v>512.32999999999993</v>
      </c>
      <c r="Y76" s="1">
        <f t="shared" si="146"/>
        <v>295.36</v>
      </c>
      <c r="Z76" s="1">
        <f t="shared" si="147"/>
        <v>48.230000000000004</v>
      </c>
      <c r="AA76" s="1"/>
      <c r="AB76" s="1"/>
      <c r="AC76" s="1"/>
      <c r="AD76" s="1"/>
    </row>
    <row r="77" spans="1:30" ht="13" x14ac:dyDescent="0.15">
      <c r="A77" s="4" t="s">
        <v>20</v>
      </c>
      <c r="B77" s="1">
        <f t="shared" ref="B77:E77" si="150">B6*$M$3</f>
        <v>16637.400000000001</v>
      </c>
      <c r="C77" s="1">
        <f t="shared" si="150"/>
        <v>1814.8</v>
      </c>
      <c r="D77" s="1">
        <f t="shared" si="150"/>
        <v>925.6</v>
      </c>
      <c r="E77" s="1">
        <f t="shared" si="150"/>
        <v>184.6</v>
      </c>
      <c r="F77" s="1">
        <v>106</v>
      </c>
      <c r="G77" s="1"/>
      <c r="H77" s="1">
        <f t="shared" si="132"/>
        <v>1663.7400000000002</v>
      </c>
      <c r="I77" s="1">
        <f t="shared" si="133"/>
        <v>90.740000000000009</v>
      </c>
      <c r="J77" s="1">
        <f t="shared" si="134"/>
        <v>18.512</v>
      </c>
      <c r="K77" s="1">
        <f t="shared" si="135"/>
        <v>9.23</v>
      </c>
      <c r="L77" s="1"/>
      <c r="M77" s="1">
        <f t="shared" si="136"/>
        <v>4991.22</v>
      </c>
      <c r="N77" s="1">
        <f t="shared" si="137"/>
        <v>635.17999999999995</v>
      </c>
      <c r="O77" s="1">
        <f t="shared" si="138"/>
        <v>259.16800000000001</v>
      </c>
      <c r="P77" s="1">
        <f t="shared" si="139"/>
        <v>64.61</v>
      </c>
      <c r="Q77" s="1"/>
      <c r="R77" s="1">
        <f t="shared" si="140"/>
        <v>4159.3500000000004</v>
      </c>
      <c r="S77" s="1">
        <f t="shared" si="141"/>
        <v>453.7</v>
      </c>
      <c r="T77" s="1">
        <f t="shared" si="142"/>
        <v>277.68</v>
      </c>
      <c r="U77" s="1">
        <f t="shared" si="143"/>
        <v>46.15</v>
      </c>
      <c r="V77" s="1"/>
      <c r="W77" s="1">
        <f t="shared" si="144"/>
        <v>5823.09</v>
      </c>
      <c r="X77" s="1">
        <f t="shared" si="145"/>
        <v>635.17999999999995</v>
      </c>
      <c r="Y77" s="1">
        <f t="shared" si="146"/>
        <v>370.24</v>
      </c>
      <c r="Z77" s="1">
        <f t="shared" si="147"/>
        <v>64.61</v>
      </c>
      <c r="AA77" s="1"/>
      <c r="AB77" s="1"/>
      <c r="AC77" s="1"/>
      <c r="AD77" s="1"/>
    </row>
    <row r="78" spans="1:30" ht="13" x14ac:dyDescent="0.15">
      <c r="A78" s="4" t="s">
        <v>22</v>
      </c>
      <c r="B78" s="1">
        <f t="shared" ref="B78:E78" si="151">B7*$M$3</f>
        <v>16858.400000000001</v>
      </c>
      <c r="C78" s="1">
        <f t="shared" si="151"/>
        <v>3101.8</v>
      </c>
      <c r="D78" s="1">
        <f t="shared" si="151"/>
        <v>2129.4</v>
      </c>
      <c r="E78" s="1">
        <f t="shared" si="151"/>
        <v>265.2</v>
      </c>
      <c r="F78" s="1">
        <v>106</v>
      </c>
      <c r="G78" s="1"/>
      <c r="H78" s="1">
        <f t="shared" si="132"/>
        <v>1685.8400000000001</v>
      </c>
      <c r="I78" s="1">
        <f t="shared" si="133"/>
        <v>155.09000000000003</v>
      </c>
      <c r="J78" s="1">
        <f t="shared" si="134"/>
        <v>42.588000000000001</v>
      </c>
      <c r="K78" s="1">
        <f t="shared" si="135"/>
        <v>13.26</v>
      </c>
      <c r="L78" s="1"/>
      <c r="M78" s="1">
        <f t="shared" si="136"/>
        <v>5057.5200000000004</v>
      </c>
      <c r="N78" s="1">
        <f t="shared" si="137"/>
        <v>1085.6299999999999</v>
      </c>
      <c r="O78" s="1">
        <f t="shared" si="138"/>
        <v>596.23200000000008</v>
      </c>
      <c r="P78" s="1">
        <f t="shared" si="139"/>
        <v>92.82</v>
      </c>
      <c r="Q78" s="1"/>
      <c r="R78" s="1">
        <f t="shared" si="140"/>
        <v>4214.6000000000004</v>
      </c>
      <c r="S78" s="1">
        <f t="shared" si="141"/>
        <v>775.45</v>
      </c>
      <c r="T78" s="1">
        <f t="shared" si="142"/>
        <v>638.82000000000005</v>
      </c>
      <c r="U78" s="1">
        <f t="shared" si="143"/>
        <v>66.3</v>
      </c>
      <c r="V78" s="1"/>
      <c r="W78" s="1">
        <f t="shared" si="144"/>
        <v>5900.4400000000005</v>
      </c>
      <c r="X78" s="1">
        <f t="shared" si="145"/>
        <v>1085.6299999999999</v>
      </c>
      <c r="Y78" s="1">
        <f t="shared" si="146"/>
        <v>851.7600000000001</v>
      </c>
      <c r="Z78" s="1">
        <f t="shared" si="147"/>
        <v>92.82</v>
      </c>
      <c r="AA78" s="1"/>
      <c r="AB78" s="1"/>
      <c r="AC78" s="1"/>
      <c r="AD78" s="1"/>
    </row>
    <row r="79" spans="1:30" ht="13" x14ac:dyDescent="0.15">
      <c r="A79" s="4" t="s">
        <v>24</v>
      </c>
      <c r="B79" s="1">
        <f t="shared" ref="B79:E79" si="152">B8*$M$3</f>
        <v>15745.6</v>
      </c>
      <c r="C79" s="1">
        <f t="shared" si="152"/>
        <v>1718.6000000000001</v>
      </c>
      <c r="D79" s="1">
        <f t="shared" si="152"/>
        <v>699.4</v>
      </c>
      <c r="E79" s="1">
        <f t="shared" si="152"/>
        <v>226.20000000000002</v>
      </c>
      <c r="F79" s="1">
        <v>95</v>
      </c>
      <c r="G79" s="1"/>
      <c r="H79" s="1">
        <f t="shared" si="132"/>
        <v>1574.5600000000002</v>
      </c>
      <c r="I79" s="1">
        <f t="shared" si="133"/>
        <v>85.93</v>
      </c>
      <c r="J79" s="1">
        <f t="shared" si="134"/>
        <v>13.988</v>
      </c>
      <c r="K79" s="1">
        <f t="shared" si="135"/>
        <v>11.310000000000002</v>
      </c>
      <c r="L79" s="1"/>
      <c r="M79" s="1">
        <f t="shared" si="136"/>
        <v>4723.68</v>
      </c>
      <c r="N79" s="1">
        <f t="shared" si="137"/>
        <v>601.51</v>
      </c>
      <c r="O79" s="1">
        <f t="shared" si="138"/>
        <v>195.83200000000002</v>
      </c>
      <c r="P79" s="1">
        <f t="shared" si="139"/>
        <v>79.17</v>
      </c>
      <c r="Q79" s="1"/>
      <c r="R79" s="1">
        <f t="shared" si="140"/>
        <v>3936.4</v>
      </c>
      <c r="S79" s="1">
        <f t="shared" si="141"/>
        <v>429.65000000000003</v>
      </c>
      <c r="T79" s="1">
        <f t="shared" si="142"/>
        <v>209.82</v>
      </c>
      <c r="U79" s="1">
        <f t="shared" si="143"/>
        <v>56.550000000000004</v>
      </c>
      <c r="V79" s="1"/>
      <c r="W79" s="1">
        <f t="shared" si="144"/>
        <v>5510.96</v>
      </c>
      <c r="X79" s="1">
        <f t="shared" si="145"/>
        <v>601.51</v>
      </c>
      <c r="Y79" s="1">
        <f t="shared" si="146"/>
        <v>279.76</v>
      </c>
      <c r="Z79" s="1">
        <f t="shared" si="147"/>
        <v>79.17</v>
      </c>
      <c r="AA79" s="1"/>
      <c r="AB79" s="1"/>
      <c r="AC79" s="1"/>
      <c r="AD79" s="1"/>
    </row>
    <row r="80" spans="1:30" ht="13" x14ac:dyDescent="0.15">
      <c r="A80" s="4" t="s">
        <v>26</v>
      </c>
      <c r="B80" s="1">
        <f t="shared" ref="B80:E80" si="153">B9*$M$3</f>
        <v>17568.2</v>
      </c>
      <c r="C80" s="1">
        <f t="shared" si="153"/>
        <v>2795</v>
      </c>
      <c r="D80" s="1">
        <f t="shared" si="153"/>
        <v>1905.8</v>
      </c>
      <c r="E80" s="1">
        <f t="shared" si="153"/>
        <v>293.8</v>
      </c>
      <c r="F80" s="1">
        <v>112</v>
      </c>
      <c r="G80" s="1"/>
      <c r="H80" s="1">
        <f t="shared" si="132"/>
        <v>1756.8200000000002</v>
      </c>
      <c r="I80" s="1">
        <f t="shared" si="133"/>
        <v>139.75</v>
      </c>
      <c r="J80" s="1">
        <f t="shared" si="134"/>
        <v>38.116</v>
      </c>
      <c r="K80" s="1">
        <f t="shared" si="135"/>
        <v>14.690000000000001</v>
      </c>
      <c r="L80" s="1"/>
      <c r="M80" s="1">
        <f t="shared" si="136"/>
        <v>5270.46</v>
      </c>
      <c r="N80" s="1">
        <f t="shared" si="137"/>
        <v>978.24999999999989</v>
      </c>
      <c r="O80" s="1">
        <f t="shared" si="138"/>
        <v>533.62400000000002</v>
      </c>
      <c r="P80" s="1">
        <f t="shared" si="139"/>
        <v>102.83</v>
      </c>
      <c r="Q80" s="1"/>
      <c r="R80" s="1">
        <f t="shared" si="140"/>
        <v>4392.05</v>
      </c>
      <c r="S80" s="1">
        <f t="shared" si="141"/>
        <v>698.75</v>
      </c>
      <c r="T80" s="1">
        <f t="shared" si="142"/>
        <v>571.74</v>
      </c>
      <c r="U80" s="1">
        <f t="shared" si="143"/>
        <v>73.45</v>
      </c>
      <c r="V80" s="1"/>
      <c r="W80" s="1">
        <f t="shared" si="144"/>
        <v>6148.87</v>
      </c>
      <c r="X80" s="1">
        <f t="shared" si="145"/>
        <v>978.24999999999989</v>
      </c>
      <c r="Y80" s="1">
        <f t="shared" si="146"/>
        <v>762.32</v>
      </c>
      <c r="Z80" s="1">
        <f t="shared" si="147"/>
        <v>102.83</v>
      </c>
      <c r="AA80" s="1"/>
      <c r="AB80" s="1"/>
      <c r="AC80" s="1"/>
      <c r="AD80" s="1"/>
    </row>
    <row r="81" spans="1:30" ht="13" x14ac:dyDescent="0.15">
      <c r="A81" s="4" t="s">
        <v>28</v>
      </c>
      <c r="B81" s="1">
        <f t="shared" ref="B81:E81" si="154">B10*$M$3</f>
        <v>19201</v>
      </c>
      <c r="C81" s="1">
        <f t="shared" si="154"/>
        <v>3356.6</v>
      </c>
      <c r="D81" s="1">
        <f t="shared" si="154"/>
        <v>2688.4</v>
      </c>
      <c r="E81" s="1">
        <f t="shared" si="154"/>
        <v>273</v>
      </c>
      <c r="F81" s="1">
        <v>130</v>
      </c>
      <c r="G81" s="1"/>
      <c r="H81" s="1">
        <f t="shared" si="132"/>
        <v>1920.1000000000001</v>
      </c>
      <c r="I81" s="1">
        <f t="shared" si="133"/>
        <v>167.83</v>
      </c>
      <c r="J81" s="1">
        <f t="shared" si="134"/>
        <v>53.768000000000001</v>
      </c>
      <c r="K81" s="1">
        <f t="shared" si="135"/>
        <v>13.65</v>
      </c>
      <c r="L81" s="1"/>
      <c r="M81" s="1">
        <f t="shared" si="136"/>
        <v>5760.3</v>
      </c>
      <c r="N81" s="1">
        <f t="shared" si="137"/>
        <v>1174.81</v>
      </c>
      <c r="O81" s="1">
        <f t="shared" si="138"/>
        <v>752.75200000000007</v>
      </c>
      <c r="P81" s="1">
        <f t="shared" si="139"/>
        <v>95.55</v>
      </c>
      <c r="Q81" s="1"/>
      <c r="R81" s="1">
        <f t="shared" si="140"/>
        <v>4800.25</v>
      </c>
      <c r="S81" s="1">
        <f t="shared" si="141"/>
        <v>839.15</v>
      </c>
      <c r="T81" s="1">
        <f t="shared" si="142"/>
        <v>806.52</v>
      </c>
      <c r="U81" s="1">
        <f t="shared" si="143"/>
        <v>68.25</v>
      </c>
      <c r="V81" s="1"/>
      <c r="W81" s="1">
        <f t="shared" si="144"/>
        <v>6720.3499999999995</v>
      </c>
      <c r="X81" s="1">
        <f t="shared" si="145"/>
        <v>1174.81</v>
      </c>
      <c r="Y81" s="1">
        <f t="shared" si="146"/>
        <v>1075.3600000000001</v>
      </c>
      <c r="Z81" s="1">
        <f t="shared" si="147"/>
        <v>95.55</v>
      </c>
      <c r="AA81" s="1"/>
      <c r="AB81" s="1"/>
      <c r="AC81" s="1"/>
      <c r="AD81" s="1"/>
    </row>
    <row r="82" spans="1:30" ht="13" x14ac:dyDescent="0.15">
      <c r="A82" s="4" t="s">
        <v>30</v>
      </c>
      <c r="B82" s="1">
        <f t="shared" ref="B82:E82" si="155">B11*$M$3</f>
        <v>18538</v>
      </c>
      <c r="C82" s="1">
        <f t="shared" si="155"/>
        <v>2847</v>
      </c>
      <c r="D82" s="1">
        <f t="shared" si="155"/>
        <v>2095.6</v>
      </c>
      <c r="E82" s="1">
        <f t="shared" si="155"/>
        <v>241.8</v>
      </c>
      <c r="F82" s="1">
        <v>121</v>
      </c>
      <c r="G82" s="1"/>
      <c r="H82" s="1">
        <f t="shared" si="132"/>
        <v>1853.8000000000002</v>
      </c>
      <c r="I82" s="1">
        <f t="shared" si="133"/>
        <v>142.35</v>
      </c>
      <c r="J82" s="1">
        <f t="shared" si="134"/>
        <v>41.911999999999999</v>
      </c>
      <c r="K82" s="1">
        <f t="shared" si="135"/>
        <v>12.090000000000002</v>
      </c>
      <c r="L82" s="1"/>
      <c r="M82" s="1">
        <f t="shared" si="136"/>
        <v>5561.4</v>
      </c>
      <c r="N82" s="1">
        <f t="shared" si="137"/>
        <v>996.44999999999993</v>
      </c>
      <c r="O82" s="1">
        <f t="shared" si="138"/>
        <v>586.76800000000003</v>
      </c>
      <c r="P82" s="1">
        <f t="shared" si="139"/>
        <v>84.63</v>
      </c>
      <c r="Q82" s="1"/>
      <c r="R82" s="1">
        <f t="shared" si="140"/>
        <v>4634.5</v>
      </c>
      <c r="S82" s="1">
        <f t="shared" si="141"/>
        <v>711.75</v>
      </c>
      <c r="T82" s="1">
        <f t="shared" si="142"/>
        <v>628.67999999999995</v>
      </c>
      <c r="U82" s="1">
        <f t="shared" si="143"/>
        <v>60.45</v>
      </c>
      <c r="V82" s="1"/>
      <c r="W82" s="1">
        <f t="shared" si="144"/>
        <v>6488.2999999999993</v>
      </c>
      <c r="X82" s="1">
        <f t="shared" si="145"/>
        <v>996.44999999999993</v>
      </c>
      <c r="Y82" s="1">
        <f t="shared" si="146"/>
        <v>838.24</v>
      </c>
      <c r="Z82" s="1">
        <f t="shared" si="147"/>
        <v>84.63</v>
      </c>
      <c r="AA82" s="1"/>
      <c r="AB82" s="1"/>
      <c r="AC82" s="1"/>
      <c r="AD82" s="1"/>
    </row>
    <row r="83" spans="1:30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</sheetData>
  <mergeCells count="38">
    <mergeCell ref="W48:Z48"/>
    <mergeCell ref="M72:P72"/>
    <mergeCell ref="R72:U72"/>
    <mergeCell ref="A60:F60"/>
    <mergeCell ref="H60:K60"/>
    <mergeCell ref="M60:P60"/>
    <mergeCell ref="R60:U60"/>
    <mergeCell ref="W60:Z60"/>
    <mergeCell ref="A72:F72"/>
    <mergeCell ref="H72:K72"/>
    <mergeCell ref="W72:Z72"/>
    <mergeCell ref="M36:P36"/>
    <mergeCell ref="R36:U36"/>
    <mergeCell ref="A48:F48"/>
    <mergeCell ref="H48:K48"/>
    <mergeCell ref="M48:P48"/>
    <mergeCell ref="R48:U48"/>
    <mergeCell ref="AB41:AC41"/>
    <mergeCell ref="B1:F1"/>
    <mergeCell ref="H1:L1"/>
    <mergeCell ref="A12:F12"/>
    <mergeCell ref="H12:K12"/>
    <mergeCell ref="M12:P12"/>
    <mergeCell ref="R12:U12"/>
    <mergeCell ref="W12:Z12"/>
    <mergeCell ref="A24:F24"/>
    <mergeCell ref="H24:K24"/>
    <mergeCell ref="M24:P24"/>
    <mergeCell ref="R24:U24"/>
    <mergeCell ref="W24:Z24"/>
    <mergeCell ref="A36:F36"/>
    <mergeCell ref="H36:K36"/>
    <mergeCell ref="W36:Z36"/>
    <mergeCell ref="AB11:AC11"/>
    <mergeCell ref="AB17:AC17"/>
    <mergeCell ref="AB23:AC23"/>
    <mergeCell ref="AB29:AC29"/>
    <mergeCell ref="AB35:AC35"/>
  </mergeCells>
  <conditionalFormatting sqref="H11:Z11 H23:Z23 H35:Z35 H47:Z47 H59:Z59 H71:Z7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Pre-Season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Baistrocchi</cp:lastModifiedBy>
  <dcterms:modified xsi:type="dcterms:W3CDTF">2026-07-26T17:46:23Z</dcterms:modified>
</cp:coreProperties>
</file>