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lucas/Downloads/"/>
    </mc:Choice>
  </mc:AlternateContent>
  <xr:revisionPtr revIDLastSave="0" documentId="13_ncr:1_{F2C75CF0-D554-E34C-A80D-0245929FC5B8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Pre-Season Load" sheetId="4" r:id="rId1"/>
    <sheet name="In-Season Load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2" i="5" l="1"/>
  <c r="AM142" i="5"/>
  <c r="AN142" i="5"/>
  <c r="AO142" i="5"/>
  <c r="AL143" i="5"/>
  <c r="AM143" i="5"/>
  <c r="AN143" i="5"/>
  <c r="AO143" i="5"/>
  <c r="AL144" i="5"/>
  <c r="AM144" i="5"/>
  <c r="AN144" i="5"/>
  <c r="AO144" i="5"/>
  <c r="AL145" i="5"/>
  <c r="AM145" i="5"/>
  <c r="AN145" i="5"/>
  <c r="AO145" i="5"/>
  <c r="AL146" i="5"/>
  <c r="AM146" i="5"/>
  <c r="AN146" i="5"/>
  <c r="AO146" i="5"/>
  <c r="AL147" i="5"/>
  <c r="AM147" i="5"/>
  <c r="AN147" i="5"/>
  <c r="AO147" i="5"/>
  <c r="AL148" i="5"/>
  <c r="AM148" i="5"/>
  <c r="AN148" i="5"/>
  <c r="AO148" i="5"/>
  <c r="AL149" i="5"/>
  <c r="AM149" i="5"/>
  <c r="AN149" i="5"/>
  <c r="AO149" i="5"/>
  <c r="AL150" i="5"/>
  <c r="AM150" i="5"/>
  <c r="AN150" i="5"/>
  <c r="AO150" i="5"/>
  <c r="AL130" i="5"/>
  <c r="AM130" i="5"/>
  <c r="AN130" i="5"/>
  <c r="AO130" i="5"/>
  <c r="AL131" i="5"/>
  <c r="AM131" i="5"/>
  <c r="AN131" i="5"/>
  <c r="AO131" i="5"/>
  <c r="AL132" i="5"/>
  <c r="AM132" i="5"/>
  <c r="AN132" i="5"/>
  <c r="AO132" i="5"/>
  <c r="AL133" i="5"/>
  <c r="AM133" i="5"/>
  <c r="AN133" i="5"/>
  <c r="AO133" i="5"/>
  <c r="AL134" i="5"/>
  <c r="AM134" i="5"/>
  <c r="AN134" i="5"/>
  <c r="AO134" i="5"/>
  <c r="AL135" i="5"/>
  <c r="AM135" i="5"/>
  <c r="AN135" i="5"/>
  <c r="AO135" i="5"/>
  <c r="AL136" i="5"/>
  <c r="AM136" i="5"/>
  <c r="AN136" i="5"/>
  <c r="AO136" i="5"/>
  <c r="AL137" i="5"/>
  <c r="AM137" i="5"/>
  <c r="AN137" i="5"/>
  <c r="AO137" i="5"/>
  <c r="AL138" i="5"/>
  <c r="AM138" i="5"/>
  <c r="AN138" i="5"/>
  <c r="AO138" i="5"/>
  <c r="AL118" i="5"/>
  <c r="AM118" i="5"/>
  <c r="AN118" i="5"/>
  <c r="AO118" i="5"/>
  <c r="AL119" i="5"/>
  <c r="AM119" i="5"/>
  <c r="AN119" i="5"/>
  <c r="AO119" i="5"/>
  <c r="AL120" i="5"/>
  <c r="AM120" i="5"/>
  <c r="AN120" i="5"/>
  <c r="AO120" i="5"/>
  <c r="AL121" i="5"/>
  <c r="AM121" i="5"/>
  <c r="AN121" i="5"/>
  <c r="D121" i="5" s="1"/>
  <c r="AO121" i="5"/>
  <c r="AL122" i="5"/>
  <c r="AM122" i="5"/>
  <c r="AN122" i="5"/>
  <c r="AO122" i="5"/>
  <c r="AL123" i="5"/>
  <c r="AM123" i="5"/>
  <c r="AN123" i="5"/>
  <c r="AO123" i="5"/>
  <c r="AL124" i="5"/>
  <c r="AM124" i="5"/>
  <c r="AN124" i="5"/>
  <c r="AO124" i="5"/>
  <c r="AL125" i="5"/>
  <c r="AM125" i="5"/>
  <c r="AN125" i="5"/>
  <c r="AO125" i="5"/>
  <c r="AL126" i="5"/>
  <c r="AM126" i="5"/>
  <c r="AN126" i="5"/>
  <c r="AO126" i="5"/>
  <c r="AL106" i="5"/>
  <c r="AM106" i="5"/>
  <c r="AN106" i="5"/>
  <c r="AO106" i="5"/>
  <c r="AL107" i="5"/>
  <c r="AM107" i="5"/>
  <c r="AN107" i="5"/>
  <c r="AO107" i="5"/>
  <c r="AL108" i="5"/>
  <c r="AM108" i="5"/>
  <c r="AN108" i="5"/>
  <c r="AO108" i="5"/>
  <c r="AL109" i="5"/>
  <c r="AM109" i="5"/>
  <c r="C109" i="5" s="1"/>
  <c r="AN109" i="5"/>
  <c r="AO109" i="5"/>
  <c r="AL110" i="5"/>
  <c r="AM110" i="5"/>
  <c r="AN110" i="5"/>
  <c r="AO110" i="5"/>
  <c r="E110" i="5" s="1"/>
  <c r="AL111" i="5"/>
  <c r="AM111" i="5"/>
  <c r="AN111" i="5"/>
  <c r="AO111" i="5"/>
  <c r="AL112" i="5"/>
  <c r="AM112" i="5"/>
  <c r="AN112" i="5"/>
  <c r="AO112" i="5"/>
  <c r="AL113" i="5"/>
  <c r="AM113" i="5"/>
  <c r="AN113" i="5"/>
  <c r="AO113" i="5"/>
  <c r="AL114" i="5"/>
  <c r="AM114" i="5"/>
  <c r="AN114" i="5"/>
  <c r="AO114" i="5"/>
  <c r="AL94" i="5"/>
  <c r="AM94" i="5"/>
  <c r="AN94" i="5"/>
  <c r="AO94" i="5"/>
  <c r="AL95" i="5"/>
  <c r="AM95" i="5"/>
  <c r="AN95" i="5"/>
  <c r="AO95" i="5"/>
  <c r="AL96" i="5"/>
  <c r="AM96" i="5"/>
  <c r="AN96" i="5"/>
  <c r="AO96" i="5"/>
  <c r="AL97" i="5"/>
  <c r="B97" i="5" s="1"/>
  <c r="AM97" i="5"/>
  <c r="AN97" i="5"/>
  <c r="AO97" i="5"/>
  <c r="AL98" i="5"/>
  <c r="AM98" i="5"/>
  <c r="AN98" i="5"/>
  <c r="AO98" i="5"/>
  <c r="AL99" i="5"/>
  <c r="AM99" i="5"/>
  <c r="AN99" i="5"/>
  <c r="AO99" i="5"/>
  <c r="AL100" i="5"/>
  <c r="AM100" i="5"/>
  <c r="AN100" i="5"/>
  <c r="AO100" i="5"/>
  <c r="AL101" i="5"/>
  <c r="AM101" i="5"/>
  <c r="AN101" i="5"/>
  <c r="AO101" i="5"/>
  <c r="AL102" i="5"/>
  <c r="AM102" i="5"/>
  <c r="AN102" i="5"/>
  <c r="AO102" i="5"/>
  <c r="AL82" i="5"/>
  <c r="AM82" i="5"/>
  <c r="AN82" i="5"/>
  <c r="AO82" i="5"/>
  <c r="AL83" i="5"/>
  <c r="AM83" i="5"/>
  <c r="AN83" i="5"/>
  <c r="AO83" i="5"/>
  <c r="AL84" i="5"/>
  <c r="AM84" i="5"/>
  <c r="AN84" i="5"/>
  <c r="AO84" i="5"/>
  <c r="AL85" i="5"/>
  <c r="AM85" i="5"/>
  <c r="AN85" i="5"/>
  <c r="AO85" i="5"/>
  <c r="AL86" i="5"/>
  <c r="AM86" i="5"/>
  <c r="AN86" i="5"/>
  <c r="AO86" i="5"/>
  <c r="E86" i="5" s="1"/>
  <c r="AL87" i="5"/>
  <c r="AM87" i="5"/>
  <c r="AN87" i="5"/>
  <c r="AO87" i="5"/>
  <c r="AL88" i="5"/>
  <c r="AM88" i="5"/>
  <c r="AN88" i="5"/>
  <c r="AO88" i="5"/>
  <c r="AL89" i="5"/>
  <c r="AM89" i="5"/>
  <c r="AN89" i="5"/>
  <c r="D89" i="5" s="1"/>
  <c r="AO89" i="5"/>
  <c r="AL90" i="5"/>
  <c r="AM90" i="5"/>
  <c r="AN90" i="5"/>
  <c r="AO90" i="5"/>
  <c r="AL70" i="5"/>
  <c r="AM70" i="5"/>
  <c r="AN70" i="5"/>
  <c r="AO70" i="5"/>
  <c r="AL71" i="5"/>
  <c r="AM71" i="5"/>
  <c r="AN71" i="5"/>
  <c r="AO71" i="5"/>
  <c r="AL72" i="5"/>
  <c r="AM72" i="5"/>
  <c r="AN72" i="5"/>
  <c r="AO72" i="5"/>
  <c r="AL73" i="5"/>
  <c r="AM73" i="5"/>
  <c r="AN73" i="5"/>
  <c r="AO73" i="5"/>
  <c r="AL74" i="5"/>
  <c r="AM74" i="5"/>
  <c r="AN74" i="5"/>
  <c r="AO74" i="5"/>
  <c r="AL75" i="5"/>
  <c r="AM75" i="5"/>
  <c r="AN75" i="5"/>
  <c r="AO75" i="5"/>
  <c r="AL76" i="5"/>
  <c r="AM76" i="5"/>
  <c r="AN76" i="5"/>
  <c r="AO76" i="5"/>
  <c r="AL77" i="5"/>
  <c r="AM77" i="5"/>
  <c r="AN77" i="5"/>
  <c r="AO77" i="5"/>
  <c r="AL78" i="5"/>
  <c r="AM78" i="5"/>
  <c r="AN78" i="5"/>
  <c r="AO78" i="5"/>
  <c r="AL58" i="5"/>
  <c r="AM58" i="5"/>
  <c r="AN58" i="5"/>
  <c r="AO58" i="5"/>
  <c r="AL59" i="5"/>
  <c r="AM59" i="5"/>
  <c r="AN59" i="5"/>
  <c r="AO59" i="5"/>
  <c r="AL60" i="5"/>
  <c r="AM60" i="5"/>
  <c r="AN60" i="5"/>
  <c r="AO60" i="5"/>
  <c r="E60" i="5" s="1"/>
  <c r="AL61" i="5"/>
  <c r="AM61" i="5"/>
  <c r="AN61" i="5"/>
  <c r="AO61" i="5"/>
  <c r="AL62" i="5"/>
  <c r="AM62" i="5"/>
  <c r="AN62" i="5"/>
  <c r="AO62" i="5"/>
  <c r="AL63" i="5"/>
  <c r="AM63" i="5"/>
  <c r="AN63" i="5"/>
  <c r="AO63" i="5"/>
  <c r="AL64" i="5"/>
  <c r="AM64" i="5"/>
  <c r="AN64" i="5"/>
  <c r="AO64" i="5"/>
  <c r="AL65" i="5"/>
  <c r="B65" i="5" s="1"/>
  <c r="AM65" i="5"/>
  <c r="C65" i="5" s="1"/>
  <c r="AN65" i="5"/>
  <c r="AO65" i="5"/>
  <c r="AL66" i="5"/>
  <c r="AM66" i="5"/>
  <c r="AN66" i="5"/>
  <c r="AO66" i="5"/>
  <c r="AL46" i="5"/>
  <c r="AM46" i="5"/>
  <c r="AN46" i="5"/>
  <c r="AO46" i="5"/>
  <c r="AL47" i="5"/>
  <c r="AM47" i="5"/>
  <c r="AN47" i="5"/>
  <c r="AO47" i="5"/>
  <c r="AL48" i="5"/>
  <c r="AM48" i="5"/>
  <c r="AN48" i="5"/>
  <c r="AO48" i="5"/>
  <c r="AL49" i="5"/>
  <c r="AM49" i="5"/>
  <c r="AN49" i="5"/>
  <c r="AO49" i="5"/>
  <c r="AL50" i="5"/>
  <c r="AM50" i="5"/>
  <c r="AN50" i="5"/>
  <c r="AO50" i="5"/>
  <c r="AL51" i="5"/>
  <c r="AM51" i="5"/>
  <c r="AN51" i="5"/>
  <c r="AO51" i="5"/>
  <c r="AL52" i="5"/>
  <c r="AM52" i="5"/>
  <c r="AN52" i="5"/>
  <c r="AO52" i="5"/>
  <c r="AL53" i="5"/>
  <c r="AM53" i="5"/>
  <c r="AN53" i="5"/>
  <c r="AO53" i="5"/>
  <c r="AL54" i="5"/>
  <c r="AM54" i="5"/>
  <c r="AN54" i="5"/>
  <c r="AO54" i="5"/>
  <c r="AL34" i="5"/>
  <c r="AM34" i="5"/>
  <c r="AN34" i="5"/>
  <c r="AO34" i="5"/>
  <c r="E34" i="5" s="1"/>
  <c r="AL35" i="5"/>
  <c r="AM35" i="5"/>
  <c r="AN35" i="5"/>
  <c r="AO35" i="5"/>
  <c r="AL36" i="5"/>
  <c r="AM36" i="5"/>
  <c r="AN36" i="5"/>
  <c r="AO36" i="5"/>
  <c r="AL37" i="5"/>
  <c r="AM37" i="5"/>
  <c r="AN37" i="5"/>
  <c r="D37" i="5" s="1"/>
  <c r="AO37" i="5"/>
  <c r="AL38" i="5"/>
  <c r="AM38" i="5"/>
  <c r="AN38" i="5"/>
  <c r="AO38" i="5"/>
  <c r="AL39" i="5"/>
  <c r="AM39" i="5"/>
  <c r="AN39" i="5"/>
  <c r="AO39" i="5"/>
  <c r="AL40" i="5"/>
  <c r="AM40" i="5"/>
  <c r="AN40" i="5"/>
  <c r="AO40" i="5"/>
  <c r="AL41" i="5"/>
  <c r="AM41" i="5"/>
  <c r="AN41" i="5"/>
  <c r="AO41" i="5"/>
  <c r="AL42" i="5"/>
  <c r="AM42" i="5"/>
  <c r="AN42" i="5"/>
  <c r="AO42" i="5"/>
  <c r="E42" i="5" s="1"/>
  <c r="AL22" i="5"/>
  <c r="AM22" i="5"/>
  <c r="AN22" i="5"/>
  <c r="D22" i="5" s="1"/>
  <c r="AO22" i="5"/>
  <c r="AL23" i="5"/>
  <c r="AM23" i="5"/>
  <c r="AN23" i="5"/>
  <c r="AO23" i="5"/>
  <c r="AL24" i="5"/>
  <c r="AM24" i="5"/>
  <c r="AN24" i="5"/>
  <c r="D24" i="5" s="1"/>
  <c r="AO24" i="5"/>
  <c r="AL25" i="5"/>
  <c r="AM25" i="5"/>
  <c r="AN25" i="5"/>
  <c r="AO25" i="5"/>
  <c r="AL26" i="5"/>
  <c r="AM26" i="5"/>
  <c r="AN26" i="5"/>
  <c r="AO26" i="5"/>
  <c r="AL27" i="5"/>
  <c r="AM27" i="5"/>
  <c r="AN27" i="5"/>
  <c r="AO27" i="5"/>
  <c r="AL28" i="5"/>
  <c r="AM28" i="5"/>
  <c r="AN28" i="5"/>
  <c r="D28" i="5" s="1"/>
  <c r="AO28" i="5"/>
  <c r="AL29" i="5"/>
  <c r="AM29" i="5"/>
  <c r="AN29" i="5"/>
  <c r="AO29" i="5"/>
  <c r="AL30" i="5"/>
  <c r="AM30" i="5"/>
  <c r="AN30" i="5"/>
  <c r="D30" i="5" s="1"/>
  <c r="AO30" i="5"/>
  <c r="F142" i="5"/>
  <c r="F143" i="5"/>
  <c r="F144" i="5"/>
  <c r="F145" i="5"/>
  <c r="F146" i="5"/>
  <c r="F147" i="5"/>
  <c r="F148" i="5"/>
  <c r="F149" i="5"/>
  <c r="F150" i="5"/>
  <c r="AG142" i="5"/>
  <c r="AH142" i="5"/>
  <c r="AI142" i="5"/>
  <c r="AJ142" i="5"/>
  <c r="AG143" i="5"/>
  <c r="AH143" i="5"/>
  <c r="AI143" i="5"/>
  <c r="AJ143" i="5"/>
  <c r="AG144" i="5"/>
  <c r="AH144" i="5"/>
  <c r="AI144" i="5"/>
  <c r="AJ144" i="5"/>
  <c r="AG145" i="5"/>
  <c r="AH145" i="5"/>
  <c r="AI145" i="5"/>
  <c r="AJ145" i="5"/>
  <c r="AG146" i="5"/>
  <c r="AH146" i="5"/>
  <c r="AI146" i="5"/>
  <c r="AJ146" i="5"/>
  <c r="AG147" i="5"/>
  <c r="AH147" i="5"/>
  <c r="AI147" i="5"/>
  <c r="AJ147" i="5"/>
  <c r="AG148" i="5"/>
  <c r="AH148" i="5"/>
  <c r="AI148" i="5"/>
  <c r="AJ148" i="5"/>
  <c r="AG149" i="5"/>
  <c r="AH149" i="5"/>
  <c r="AI149" i="5"/>
  <c r="AJ149" i="5"/>
  <c r="AG150" i="5"/>
  <c r="AH150" i="5"/>
  <c r="AI150" i="5"/>
  <c r="AJ150" i="5"/>
  <c r="AB142" i="5"/>
  <c r="AC142" i="5"/>
  <c r="AD142" i="5"/>
  <c r="AE142" i="5"/>
  <c r="AB143" i="5"/>
  <c r="AC143" i="5"/>
  <c r="AD143" i="5"/>
  <c r="AE143" i="5"/>
  <c r="AB144" i="5"/>
  <c r="AC144" i="5"/>
  <c r="AD144" i="5"/>
  <c r="AE144" i="5"/>
  <c r="AB145" i="5"/>
  <c r="AC145" i="5"/>
  <c r="AD145" i="5"/>
  <c r="AE145" i="5"/>
  <c r="AB146" i="5"/>
  <c r="AC146" i="5"/>
  <c r="AD146" i="5"/>
  <c r="AE146" i="5"/>
  <c r="AB147" i="5"/>
  <c r="AC147" i="5"/>
  <c r="AD147" i="5"/>
  <c r="AE147" i="5"/>
  <c r="AB148" i="5"/>
  <c r="AC148" i="5"/>
  <c r="AD148" i="5"/>
  <c r="AE148" i="5"/>
  <c r="AB149" i="5"/>
  <c r="AC149" i="5"/>
  <c r="AD149" i="5"/>
  <c r="AE149" i="5"/>
  <c r="AB150" i="5"/>
  <c r="AC150" i="5"/>
  <c r="AD150" i="5"/>
  <c r="AE150" i="5"/>
  <c r="W142" i="5"/>
  <c r="X142" i="5"/>
  <c r="Y142" i="5"/>
  <c r="Z142" i="5"/>
  <c r="W143" i="5"/>
  <c r="X143" i="5"/>
  <c r="Y143" i="5"/>
  <c r="Z143" i="5"/>
  <c r="W144" i="5"/>
  <c r="X144" i="5"/>
  <c r="Y144" i="5"/>
  <c r="Z144" i="5"/>
  <c r="W145" i="5"/>
  <c r="X145" i="5"/>
  <c r="Y145" i="5"/>
  <c r="Z145" i="5"/>
  <c r="W146" i="5"/>
  <c r="X146" i="5"/>
  <c r="Y146" i="5"/>
  <c r="Z146" i="5"/>
  <c r="W147" i="5"/>
  <c r="X147" i="5"/>
  <c r="Y147" i="5"/>
  <c r="Z147" i="5"/>
  <c r="W148" i="5"/>
  <c r="X148" i="5"/>
  <c r="Y148" i="5"/>
  <c r="Z148" i="5"/>
  <c r="W149" i="5"/>
  <c r="X149" i="5"/>
  <c r="Y149" i="5"/>
  <c r="Z149" i="5"/>
  <c r="W150" i="5"/>
  <c r="X150" i="5"/>
  <c r="Y150" i="5"/>
  <c r="Z150" i="5"/>
  <c r="R142" i="5"/>
  <c r="S142" i="5"/>
  <c r="T142" i="5"/>
  <c r="U142" i="5"/>
  <c r="R143" i="5"/>
  <c r="S143" i="5"/>
  <c r="T143" i="5"/>
  <c r="U143" i="5"/>
  <c r="R144" i="5"/>
  <c r="S144" i="5"/>
  <c r="T144" i="5"/>
  <c r="U144" i="5"/>
  <c r="R145" i="5"/>
  <c r="S145" i="5"/>
  <c r="T145" i="5"/>
  <c r="U145" i="5"/>
  <c r="R146" i="5"/>
  <c r="S146" i="5"/>
  <c r="T146" i="5"/>
  <c r="U146" i="5"/>
  <c r="R147" i="5"/>
  <c r="S147" i="5"/>
  <c r="T147" i="5"/>
  <c r="U147" i="5"/>
  <c r="R148" i="5"/>
  <c r="S148" i="5"/>
  <c r="T148" i="5"/>
  <c r="U148" i="5"/>
  <c r="R149" i="5"/>
  <c r="S149" i="5"/>
  <c r="T149" i="5"/>
  <c r="U149" i="5"/>
  <c r="R150" i="5"/>
  <c r="S150" i="5"/>
  <c r="T150" i="5"/>
  <c r="U150" i="5"/>
  <c r="M142" i="5"/>
  <c r="N142" i="5"/>
  <c r="O142" i="5"/>
  <c r="P142" i="5"/>
  <c r="M143" i="5"/>
  <c r="N143" i="5"/>
  <c r="O143" i="5"/>
  <c r="P143" i="5"/>
  <c r="M144" i="5"/>
  <c r="N144" i="5"/>
  <c r="O144" i="5"/>
  <c r="P144" i="5"/>
  <c r="M145" i="5"/>
  <c r="N145" i="5"/>
  <c r="O145" i="5"/>
  <c r="P145" i="5"/>
  <c r="M146" i="5"/>
  <c r="N146" i="5"/>
  <c r="O146" i="5"/>
  <c r="P146" i="5"/>
  <c r="M147" i="5"/>
  <c r="N147" i="5"/>
  <c r="O147" i="5"/>
  <c r="P147" i="5"/>
  <c r="M148" i="5"/>
  <c r="N148" i="5"/>
  <c r="O148" i="5"/>
  <c r="P148" i="5"/>
  <c r="M149" i="5"/>
  <c r="N149" i="5"/>
  <c r="O149" i="5"/>
  <c r="P149" i="5"/>
  <c r="M150" i="5"/>
  <c r="N150" i="5"/>
  <c r="O150" i="5"/>
  <c r="P150" i="5"/>
  <c r="E150" i="5" s="1"/>
  <c r="H142" i="5"/>
  <c r="B142" i="5" s="1"/>
  <c r="I142" i="5"/>
  <c r="J142" i="5"/>
  <c r="K142" i="5"/>
  <c r="H143" i="5"/>
  <c r="I143" i="5"/>
  <c r="J143" i="5"/>
  <c r="D143" i="5" s="1"/>
  <c r="K143" i="5"/>
  <c r="E143" i="5" s="1"/>
  <c r="H144" i="5"/>
  <c r="B144" i="5" s="1"/>
  <c r="I144" i="5"/>
  <c r="J144" i="5"/>
  <c r="K144" i="5"/>
  <c r="H145" i="5"/>
  <c r="I145" i="5"/>
  <c r="J145" i="5"/>
  <c r="D145" i="5" s="1"/>
  <c r="K145" i="5"/>
  <c r="E145" i="5" s="1"/>
  <c r="H146" i="5"/>
  <c r="B146" i="5" s="1"/>
  <c r="I146" i="5"/>
  <c r="J146" i="5"/>
  <c r="K146" i="5"/>
  <c r="H147" i="5"/>
  <c r="I147" i="5"/>
  <c r="J147" i="5"/>
  <c r="D147" i="5" s="1"/>
  <c r="K147" i="5"/>
  <c r="E147" i="5" s="1"/>
  <c r="H148" i="5"/>
  <c r="B148" i="5" s="1"/>
  <c r="I148" i="5"/>
  <c r="J148" i="5"/>
  <c r="K148" i="5"/>
  <c r="H149" i="5"/>
  <c r="I149" i="5"/>
  <c r="J149" i="5"/>
  <c r="D149" i="5" s="1"/>
  <c r="K149" i="5"/>
  <c r="E149" i="5" s="1"/>
  <c r="H150" i="5"/>
  <c r="B150" i="5" s="1"/>
  <c r="I150" i="5"/>
  <c r="J150" i="5"/>
  <c r="D150" i="5" s="1"/>
  <c r="K150" i="5"/>
  <c r="F130" i="5"/>
  <c r="F131" i="5"/>
  <c r="F132" i="5"/>
  <c r="F133" i="5"/>
  <c r="F134" i="5"/>
  <c r="F135" i="5"/>
  <c r="F136" i="5"/>
  <c r="F137" i="5"/>
  <c r="F138" i="5"/>
  <c r="AG130" i="5"/>
  <c r="AH130" i="5"/>
  <c r="AI130" i="5"/>
  <c r="AJ130" i="5"/>
  <c r="AG131" i="5"/>
  <c r="AH131" i="5"/>
  <c r="AI131" i="5"/>
  <c r="AJ131" i="5"/>
  <c r="AG132" i="5"/>
  <c r="AH132" i="5"/>
  <c r="AI132" i="5"/>
  <c r="AJ132" i="5"/>
  <c r="AG133" i="5"/>
  <c r="AH133" i="5"/>
  <c r="AI133" i="5"/>
  <c r="AJ133" i="5"/>
  <c r="AG134" i="5"/>
  <c r="AH134" i="5"/>
  <c r="AI134" i="5"/>
  <c r="AJ134" i="5"/>
  <c r="AG135" i="5"/>
  <c r="AH135" i="5"/>
  <c r="AI135" i="5"/>
  <c r="AJ135" i="5"/>
  <c r="AG136" i="5"/>
  <c r="AH136" i="5"/>
  <c r="AI136" i="5"/>
  <c r="AJ136" i="5"/>
  <c r="AG137" i="5"/>
  <c r="AH137" i="5"/>
  <c r="AI137" i="5"/>
  <c r="AJ137" i="5"/>
  <c r="AG138" i="5"/>
  <c r="AH138" i="5"/>
  <c r="AI138" i="5"/>
  <c r="AJ138" i="5"/>
  <c r="AB130" i="5"/>
  <c r="AC130" i="5"/>
  <c r="AD130" i="5"/>
  <c r="AE130" i="5"/>
  <c r="AB131" i="5"/>
  <c r="AC131" i="5"/>
  <c r="AD131" i="5"/>
  <c r="AE131" i="5"/>
  <c r="AB132" i="5"/>
  <c r="AC132" i="5"/>
  <c r="AD132" i="5"/>
  <c r="AE132" i="5"/>
  <c r="AB133" i="5"/>
  <c r="AC133" i="5"/>
  <c r="AD133" i="5"/>
  <c r="AE133" i="5"/>
  <c r="AB134" i="5"/>
  <c r="AC134" i="5"/>
  <c r="AD134" i="5"/>
  <c r="AE134" i="5"/>
  <c r="AB135" i="5"/>
  <c r="AC135" i="5"/>
  <c r="AD135" i="5"/>
  <c r="AE135" i="5"/>
  <c r="AB136" i="5"/>
  <c r="AC136" i="5"/>
  <c r="AD136" i="5"/>
  <c r="AE136" i="5"/>
  <c r="AB137" i="5"/>
  <c r="AC137" i="5"/>
  <c r="AD137" i="5"/>
  <c r="AE137" i="5"/>
  <c r="AB138" i="5"/>
  <c r="AC138" i="5"/>
  <c r="AD138" i="5"/>
  <c r="AE138" i="5"/>
  <c r="W130" i="5"/>
  <c r="X130" i="5"/>
  <c r="Y130" i="5"/>
  <c r="Z130" i="5"/>
  <c r="W131" i="5"/>
  <c r="X131" i="5"/>
  <c r="Y131" i="5"/>
  <c r="Z131" i="5"/>
  <c r="W132" i="5"/>
  <c r="X132" i="5"/>
  <c r="Y132" i="5"/>
  <c r="Z132" i="5"/>
  <c r="W133" i="5"/>
  <c r="X133" i="5"/>
  <c r="Y133" i="5"/>
  <c r="Z133" i="5"/>
  <c r="W134" i="5"/>
  <c r="X134" i="5"/>
  <c r="Y134" i="5"/>
  <c r="Z134" i="5"/>
  <c r="W135" i="5"/>
  <c r="X135" i="5"/>
  <c r="Y135" i="5"/>
  <c r="Z135" i="5"/>
  <c r="W136" i="5"/>
  <c r="X136" i="5"/>
  <c r="Y136" i="5"/>
  <c r="Z136" i="5"/>
  <c r="W137" i="5"/>
  <c r="X137" i="5"/>
  <c r="Y137" i="5"/>
  <c r="Z137" i="5"/>
  <c r="W138" i="5"/>
  <c r="X138" i="5"/>
  <c r="Y138" i="5"/>
  <c r="Z138" i="5"/>
  <c r="R130" i="5"/>
  <c r="S130" i="5"/>
  <c r="T130" i="5"/>
  <c r="U130" i="5"/>
  <c r="R131" i="5"/>
  <c r="S131" i="5"/>
  <c r="T131" i="5"/>
  <c r="U131" i="5"/>
  <c r="R132" i="5"/>
  <c r="S132" i="5"/>
  <c r="T132" i="5"/>
  <c r="U132" i="5"/>
  <c r="R133" i="5"/>
  <c r="S133" i="5"/>
  <c r="T133" i="5"/>
  <c r="U133" i="5"/>
  <c r="R134" i="5"/>
  <c r="S134" i="5"/>
  <c r="T134" i="5"/>
  <c r="U134" i="5"/>
  <c r="R135" i="5"/>
  <c r="S135" i="5"/>
  <c r="T135" i="5"/>
  <c r="U135" i="5"/>
  <c r="R136" i="5"/>
  <c r="S136" i="5"/>
  <c r="T136" i="5"/>
  <c r="U136" i="5"/>
  <c r="R137" i="5"/>
  <c r="S137" i="5"/>
  <c r="T137" i="5"/>
  <c r="U137" i="5"/>
  <c r="R138" i="5"/>
  <c r="S138" i="5"/>
  <c r="T138" i="5"/>
  <c r="U138" i="5"/>
  <c r="M130" i="5"/>
  <c r="N130" i="5"/>
  <c r="O130" i="5"/>
  <c r="D130" i="5" s="1"/>
  <c r="P130" i="5"/>
  <c r="M131" i="5"/>
  <c r="N131" i="5"/>
  <c r="O131" i="5"/>
  <c r="P131" i="5"/>
  <c r="M132" i="5"/>
  <c r="N132" i="5"/>
  <c r="O132" i="5"/>
  <c r="P132" i="5"/>
  <c r="M133" i="5"/>
  <c r="N133" i="5"/>
  <c r="O133" i="5"/>
  <c r="P133" i="5"/>
  <c r="M134" i="5"/>
  <c r="N134" i="5"/>
  <c r="O134" i="5"/>
  <c r="P134" i="5"/>
  <c r="M135" i="5"/>
  <c r="N135" i="5"/>
  <c r="O135" i="5"/>
  <c r="P135" i="5"/>
  <c r="M136" i="5"/>
  <c r="N136" i="5"/>
  <c r="O136" i="5"/>
  <c r="P136" i="5"/>
  <c r="M137" i="5"/>
  <c r="N137" i="5"/>
  <c r="O137" i="5"/>
  <c r="P137" i="5"/>
  <c r="M138" i="5"/>
  <c r="N138" i="5"/>
  <c r="O138" i="5"/>
  <c r="D138" i="5" s="1"/>
  <c r="P138" i="5"/>
  <c r="H130" i="5"/>
  <c r="B130" i="5" s="1"/>
  <c r="I130" i="5"/>
  <c r="J130" i="5"/>
  <c r="K130" i="5"/>
  <c r="H131" i="5"/>
  <c r="I131" i="5"/>
  <c r="J131" i="5"/>
  <c r="K131" i="5"/>
  <c r="E131" i="5" s="1"/>
  <c r="H132" i="5"/>
  <c r="B132" i="5" s="1"/>
  <c r="I132" i="5"/>
  <c r="J132" i="5"/>
  <c r="K132" i="5"/>
  <c r="E132" i="5" s="1"/>
  <c r="H133" i="5"/>
  <c r="I133" i="5"/>
  <c r="J133" i="5"/>
  <c r="K133" i="5"/>
  <c r="E133" i="5" s="1"/>
  <c r="H134" i="5"/>
  <c r="B134" i="5" s="1"/>
  <c r="I134" i="5"/>
  <c r="J134" i="5"/>
  <c r="K134" i="5"/>
  <c r="H135" i="5"/>
  <c r="I135" i="5"/>
  <c r="J135" i="5"/>
  <c r="K135" i="5"/>
  <c r="E135" i="5" s="1"/>
  <c r="H136" i="5"/>
  <c r="B136" i="5" s="1"/>
  <c r="I136" i="5"/>
  <c r="J136" i="5"/>
  <c r="K136" i="5"/>
  <c r="E136" i="5" s="1"/>
  <c r="H137" i="5"/>
  <c r="I137" i="5"/>
  <c r="J137" i="5"/>
  <c r="K137" i="5"/>
  <c r="E137" i="5" s="1"/>
  <c r="H138" i="5"/>
  <c r="B138" i="5" s="1"/>
  <c r="I138" i="5"/>
  <c r="J138" i="5"/>
  <c r="K138" i="5"/>
  <c r="E138" i="5" s="1"/>
  <c r="B118" i="5"/>
  <c r="D118" i="5"/>
  <c r="F118" i="5"/>
  <c r="F119" i="5"/>
  <c r="B120" i="5"/>
  <c r="D120" i="5"/>
  <c r="F120" i="5"/>
  <c r="F121" i="5"/>
  <c r="F122" i="5"/>
  <c r="F123" i="5"/>
  <c r="D124" i="5"/>
  <c r="F124" i="5"/>
  <c r="F125" i="5"/>
  <c r="B126" i="5"/>
  <c r="D126" i="5"/>
  <c r="F126" i="5"/>
  <c r="AG118" i="5"/>
  <c r="AH118" i="5"/>
  <c r="AI118" i="5"/>
  <c r="AJ118" i="5"/>
  <c r="AG119" i="5"/>
  <c r="AH119" i="5"/>
  <c r="AI119" i="5"/>
  <c r="AJ119" i="5"/>
  <c r="AG120" i="5"/>
  <c r="AH120" i="5"/>
  <c r="AI120" i="5"/>
  <c r="AJ120" i="5"/>
  <c r="AG121" i="5"/>
  <c r="AH121" i="5"/>
  <c r="AI121" i="5"/>
  <c r="AJ121" i="5"/>
  <c r="AG122" i="5"/>
  <c r="AH122" i="5"/>
  <c r="AI122" i="5"/>
  <c r="AJ122" i="5"/>
  <c r="AG123" i="5"/>
  <c r="AH123" i="5"/>
  <c r="AI123" i="5"/>
  <c r="AJ123" i="5"/>
  <c r="AG124" i="5"/>
  <c r="AH124" i="5"/>
  <c r="AI124" i="5"/>
  <c r="AJ124" i="5"/>
  <c r="AG125" i="5"/>
  <c r="AH125" i="5"/>
  <c r="AI125" i="5"/>
  <c r="AJ125" i="5"/>
  <c r="AG126" i="5"/>
  <c r="AH126" i="5"/>
  <c r="AI126" i="5"/>
  <c r="AJ126" i="5"/>
  <c r="AB118" i="5"/>
  <c r="AC118" i="5"/>
  <c r="AD118" i="5"/>
  <c r="AE118" i="5"/>
  <c r="AB119" i="5"/>
  <c r="AC119" i="5"/>
  <c r="AD119" i="5"/>
  <c r="AE119" i="5"/>
  <c r="AB120" i="5"/>
  <c r="AC120" i="5"/>
  <c r="AD120" i="5"/>
  <c r="AE120" i="5"/>
  <c r="AB121" i="5"/>
  <c r="AC121" i="5"/>
  <c r="AD121" i="5"/>
  <c r="AE121" i="5"/>
  <c r="AB122" i="5"/>
  <c r="AC122" i="5"/>
  <c r="AD122" i="5"/>
  <c r="AE122" i="5"/>
  <c r="AB123" i="5"/>
  <c r="AC123" i="5"/>
  <c r="AD123" i="5"/>
  <c r="AE123" i="5"/>
  <c r="AB124" i="5"/>
  <c r="AC124" i="5"/>
  <c r="AD124" i="5"/>
  <c r="AE124" i="5"/>
  <c r="AB125" i="5"/>
  <c r="AC125" i="5"/>
  <c r="AD125" i="5"/>
  <c r="AE125" i="5"/>
  <c r="AB126" i="5"/>
  <c r="AC126" i="5"/>
  <c r="AD126" i="5"/>
  <c r="AE126" i="5"/>
  <c r="W118" i="5"/>
  <c r="X118" i="5"/>
  <c r="Y118" i="5"/>
  <c r="Z118" i="5"/>
  <c r="W119" i="5"/>
  <c r="X119" i="5"/>
  <c r="Y119" i="5"/>
  <c r="Z119" i="5"/>
  <c r="W120" i="5"/>
  <c r="X120" i="5"/>
  <c r="Y120" i="5"/>
  <c r="Z120" i="5"/>
  <c r="W121" i="5"/>
  <c r="X121" i="5"/>
  <c r="Y121" i="5"/>
  <c r="Z121" i="5"/>
  <c r="W122" i="5"/>
  <c r="X122" i="5"/>
  <c r="Y122" i="5"/>
  <c r="Z122" i="5"/>
  <c r="W123" i="5"/>
  <c r="X123" i="5"/>
  <c r="Y123" i="5"/>
  <c r="Z123" i="5"/>
  <c r="W124" i="5"/>
  <c r="X124" i="5"/>
  <c r="Y124" i="5"/>
  <c r="Z124" i="5"/>
  <c r="W125" i="5"/>
  <c r="X125" i="5"/>
  <c r="Y125" i="5"/>
  <c r="Z125" i="5"/>
  <c r="W126" i="5"/>
  <c r="X126" i="5"/>
  <c r="Y126" i="5"/>
  <c r="Z126" i="5"/>
  <c r="R118" i="5"/>
  <c r="S118" i="5"/>
  <c r="T118" i="5"/>
  <c r="U118" i="5"/>
  <c r="R119" i="5"/>
  <c r="S119" i="5"/>
  <c r="T119" i="5"/>
  <c r="U119" i="5"/>
  <c r="R120" i="5"/>
  <c r="S120" i="5"/>
  <c r="T120" i="5"/>
  <c r="U120" i="5"/>
  <c r="R121" i="5"/>
  <c r="S121" i="5"/>
  <c r="T121" i="5"/>
  <c r="U121" i="5"/>
  <c r="R122" i="5"/>
  <c r="S122" i="5"/>
  <c r="T122" i="5"/>
  <c r="U122" i="5"/>
  <c r="R123" i="5"/>
  <c r="S123" i="5"/>
  <c r="T123" i="5"/>
  <c r="U123" i="5"/>
  <c r="R124" i="5"/>
  <c r="S124" i="5"/>
  <c r="T124" i="5"/>
  <c r="U124" i="5"/>
  <c r="R125" i="5"/>
  <c r="S125" i="5"/>
  <c r="T125" i="5"/>
  <c r="U125" i="5"/>
  <c r="R126" i="5"/>
  <c r="S126" i="5"/>
  <c r="T126" i="5"/>
  <c r="U126" i="5"/>
  <c r="M118" i="5"/>
  <c r="N118" i="5"/>
  <c r="C118" i="5" s="1"/>
  <c r="O118" i="5"/>
  <c r="P118" i="5"/>
  <c r="M119" i="5"/>
  <c r="N119" i="5"/>
  <c r="O119" i="5"/>
  <c r="P119" i="5"/>
  <c r="E119" i="5" s="1"/>
  <c r="M120" i="5"/>
  <c r="N120" i="5"/>
  <c r="O120" i="5"/>
  <c r="P120" i="5"/>
  <c r="M121" i="5"/>
  <c r="N121" i="5"/>
  <c r="O121" i="5"/>
  <c r="P121" i="5"/>
  <c r="E121" i="5" s="1"/>
  <c r="M122" i="5"/>
  <c r="B122" i="5" s="1"/>
  <c r="N122" i="5"/>
  <c r="O122" i="5"/>
  <c r="P122" i="5"/>
  <c r="M123" i="5"/>
  <c r="N123" i="5"/>
  <c r="O123" i="5"/>
  <c r="P123" i="5"/>
  <c r="M124" i="5"/>
  <c r="N124" i="5"/>
  <c r="O124" i="5"/>
  <c r="P124" i="5"/>
  <c r="M125" i="5"/>
  <c r="N125" i="5"/>
  <c r="O125" i="5"/>
  <c r="P125" i="5"/>
  <c r="M126" i="5"/>
  <c r="N126" i="5"/>
  <c r="C126" i="5" s="1"/>
  <c r="O126" i="5"/>
  <c r="P126" i="5"/>
  <c r="H118" i="5"/>
  <c r="I118" i="5"/>
  <c r="J118" i="5"/>
  <c r="K118" i="5"/>
  <c r="H119" i="5"/>
  <c r="I119" i="5"/>
  <c r="J119" i="5"/>
  <c r="K119" i="5"/>
  <c r="H120" i="5"/>
  <c r="I120" i="5"/>
  <c r="C120" i="5" s="1"/>
  <c r="J120" i="5"/>
  <c r="K120" i="5"/>
  <c r="H121" i="5"/>
  <c r="I121" i="5"/>
  <c r="J121" i="5"/>
  <c r="K121" i="5"/>
  <c r="H122" i="5"/>
  <c r="I122" i="5"/>
  <c r="C122" i="5" s="1"/>
  <c r="J122" i="5"/>
  <c r="D122" i="5" s="1"/>
  <c r="K122" i="5"/>
  <c r="H123" i="5"/>
  <c r="I123" i="5"/>
  <c r="J123" i="5"/>
  <c r="K123" i="5"/>
  <c r="E123" i="5" s="1"/>
  <c r="H124" i="5"/>
  <c r="B124" i="5" s="1"/>
  <c r="I124" i="5"/>
  <c r="C124" i="5" s="1"/>
  <c r="J124" i="5"/>
  <c r="K124" i="5"/>
  <c r="H125" i="5"/>
  <c r="I125" i="5"/>
  <c r="J125" i="5"/>
  <c r="K125" i="5"/>
  <c r="E125" i="5" s="1"/>
  <c r="H126" i="5"/>
  <c r="I126" i="5"/>
  <c r="J126" i="5"/>
  <c r="K126" i="5"/>
  <c r="C106" i="5"/>
  <c r="F106" i="5"/>
  <c r="F107" i="5"/>
  <c r="C108" i="5"/>
  <c r="F108" i="5"/>
  <c r="F109" i="5"/>
  <c r="F110" i="5"/>
  <c r="F111" i="5"/>
  <c r="C112" i="5"/>
  <c r="E112" i="5"/>
  <c r="F112" i="5"/>
  <c r="F113" i="5"/>
  <c r="C114" i="5"/>
  <c r="F114" i="5"/>
  <c r="AG106" i="5"/>
  <c r="AH106" i="5"/>
  <c r="AI106" i="5"/>
  <c r="AJ106" i="5"/>
  <c r="AG107" i="5"/>
  <c r="AH107" i="5"/>
  <c r="AI107" i="5"/>
  <c r="AJ107" i="5"/>
  <c r="AG108" i="5"/>
  <c r="AH108" i="5"/>
  <c r="AI108" i="5"/>
  <c r="AJ108" i="5"/>
  <c r="AG109" i="5"/>
  <c r="AH109" i="5"/>
  <c r="AI109" i="5"/>
  <c r="AJ109" i="5"/>
  <c r="AG110" i="5"/>
  <c r="AH110" i="5"/>
  <c r="AI110" i="5"/>
  <c r="AJ110" i="5"/>
  <c r="AG111" i="5"/>
  <c r="AH111" i="5"/>
  <c r="AI111" i="5"/>
  <c r="AJ111" i="5"/>
  <c r="AG112" i="5"/>
  <c r="AH112" i="5"/>
  <c r="AI112" i="5"/>
  <c r="AJ112" i="5"/>
  <c r="AG113" i="5"/>
  <c r="AH113" i="5"/>
  <c r="AI113" i="5"/>
  <c r="AJ113" i="5"/>
  <c r="AG114" i="5"/>
  <c r="AH114" i="5"/>
  <c r="AI114" i="5"/>
  <c r="AJ114" i="5"/>
  <c r="AB106" i="5"/>
  <c r="AC106" i="5"/>
  <c r="AD106" i="5"/>
  <c r="AE106" i="5"/>
  <c r="AB107" i="5"/>
  <c r="AC107" i="5"/>
  <c r="AD107" i="5"/>
  <c r="AE107" i="5"/>
  <c r="AB108" i="5"/>
  <c r="AC108" i="5"/>
  <c r="AD108" i="5"/>
  <c r="AE108" i="5"/>
  <c r="AB109" i="5"/>
  <c r="AC109" i="5"/>
  <c r="AD109" i="5"/>
  <c r="AE109" i="5"/>
  <c r="AB110" i="5"/>
  <c r="AC110" i="5"/>
  <c r="AD110" i="5"/>
  <c r="AE110" i="5"/>
  <c r="AB111" i="5"/>
  <c r="AC111" i="5"/>
  <c r="AD111" i="5"/>
  <c r="AE111" i="5"/>
  <c r="AB112" i="5"/>
  <c r="AC112" i="5"/>
  <c r="AD112" i="5"/>
  <c r="AE112" i="5"/>
  <c r="AB113" i="5"/>
  <c r="AC113" i="5"/>
  <c r="AD113" i="5"/>
  <c r="AE113" i="5"/>
  <c r="AB114" i="5"/>
  <c r="AC114" i="5"/>
  <c r="AD114" i="5"/>
  <c r="AE114" i="5"/>
  <c r="W106" i="5"/>
  <c r="X106" i="5"/>
  <c r="Y106" i="5"/>
  <c r="Z106" i="5"/>
  <c r="W107" i="5"/>
  <c r="X107" i="5"/>
  <c r="Y107" i="5"/>
  <c r="Z107" i="5"/>
  <c r="W108" i="5"/>
  <c r="X108" i="5"/>
  <c r="Y108" i="5"/>
  <c r="Z108" i="5"/>
  <c r="W109" i="5"/>
  <c r="X109" i="5"/>
  <c r="Y109" i="5"/>
  <c r="Z109" i="5"/>
  <c r="W110" i="5"/>
  <c r="X110" i="5"/>
  <c r="Y110" i="5"/>
  <c r="Z110" i="5"/>
  <c r="W111" i="5"/>
  <c r="X111" i="5"/>
  <c r="Y111" i="5"/>
  <c r="Z111" i="5"/>
  <c r="W112" i="5"/>
  <c r="X112" i="5"/>
  <c r="Y112" i="5"/>
  <c r="Z112" i="5"/>
  <c r="W113" i="5"/>
  <c r="X113" i="5"/>
  <c r="Y113" i="5"/>
  <c r="Z113" i="5"/>
  <c r="W114" i="5"/>
  <c r="X114" i="5"/>
  <c r="Y114" i="5"/>
  <c r="Z114" i="5"/>
  <c r="R106" i="5"/>
  <c r="S106" i="5"/>
  <c r="T106" i="5"/>
  <c r="U106" i="5"/>
  <c r="R107" i="5"/>
  <c r="S107" i="5"/>
  <c r="T107" i="5"/>
  <c r="U107" i="5"/>
  <c r="R108" i="5"/>
  <c r="S108" i="5"/>
  <c r="T108" i="5"/>
  <c r="U108" i="5"/>
  <c r="R109" i="5"/>
  <c r="S109" i="5"/>
  <c r="T109" i="5"/>
  <c r="U109" i="5"/>
  <c r="R110" i="5"/>
  <c r="S110" i="5"/>
  <c r="T110" i="5"/>
  <c r="U110" i="5"/>
  <c r="R111" i="5"/>
  <c r="S111" i="5"/>
  <c r="T111" i="5"/>
  <c r="U111" i="5"/>
  <c r="R112" i="5"/>
  <c r="S112" i="5"/>
  <c r="T112" i="5"/>
  <c r="U112" i="5"/>
  <c r="R113" i="5"/>
  <c r="S113" i="5"/>
  <c r="T113" i="5"/>
  <c r="U113" i="5"/>
  <c r="R114" i="5"/>
  <c r="S114" i="5"/>
  <c r="T114" i="5"/>
  <c r="U114" i="5"/>
  <c r="M106" i="5"/>
  <c r="B106" i="5" s="1"/>
  <c r="N106" i="5"/>
  <c r="O106" i="5"/>
  <c r="P106" i="5"/>
  <c r="M107" i="5"/>
  <c r="N107" i="5"/>
  <c r="O107" i="5"/>
  <c r="P107" i="5"/>
  <c r="E107" i="5" s="1"/>
  <c r="M108" i="5"/>
  <c r="N108" i="5"/>
  <c r="O108" i="5"/>
  <c r="P108" i="5"/>
  <c r="M109" i="5"/>
  <c r="N109" i="5"/>
  <c r="O109" i="5"/>
  <c r="P109" i="5"/>
  <c r="M110" i="5"/>
  <c r="N110" i="5"/>
  <c r="O110" i="5"/>
  <c r="P110" i="5"/>
  <c r="M111" i="5"/>
  <c r="N111" i="5"/>
  <c r="O111" i="5"/>
  <c r="P111" i="5"/>
  <c r="M112" i="5"/>
  <c r="N112" i="5"/>
  <c r="O112" i="5"/>
  <c r="P112" i="5"/>
  <c r="M113" i="5"/>
  <c r="N113" i="5"/>
  <c r="O113" i="5"/>
  <c r="P113" i="5"/>
  <c r="M114" i="5"/>
  <c r="B114" i="5" s="1"/>
  <c r="N114" i="5"/>
  <c r="O114" i="5"/>
  <c r="P114" i="5"/>
  <c r="H106" i="5"/>
  <c r="I106" i="5"/>
  <c r="J106" i="5"/>
  <c r="D106" i="5" s="1"/>
  <c r="K106" i="5"/>
  <c r="H107" i="5"/>
  <c r="I107" i="5"/>
  <c r="J107" i="5"/>
  <c r="K107" i="5"/>
  <c r="H108" i="5"/>
  <c r="B108" i="5" s="1"/>
  <c r="I108" i="5"/>
  <c r="J108" i="5"/>
  <c r="D108" i="5" s="1"/>
  <c r="K108" i="5"/>
  <c r="H109" i="5"/>
  <c r="I109" i="5"/>
  <c r="J109" i="5"/>
  <c r="K109" i="5"/>
  <c r="E109" i="5" s="1"/>
  <c r="H110" i="5"/>
  <c r="B110" i="5" s="1"/>
  <c r="I110" i="5"/>
  <c r="C110" i="5" s="1"/>
  <c r="J110" i="5"/>
  <c r="D110" i="5" s="1"/>
  <c r="K110" i="5"/>
  <c r="H111" i="5"/>
  <c r="I111" i="5"/>
  <c r="J111" i="5"/>
  <c r="K111" i="5"/>
  <c r="E111" i="5" s="1"/>
  <c r="H112" i="5"/>
  <c r="B112" i="5" s="1"/>
  <c r="I112" i="5"/>
  <c r="J112" i="5"/>
  <c r="D112" i="5" s="1"/>
  <c r="K112" i="5"/>
  <c r="H113" i="5"/>
  <c r="I113" i="5"/>
  <c r="J113" i="5"/>
  <c r="K113" i="5"/>
  <c r="E113" i="5" s="1"/>
  <c r="H114" i="5"/>
  <c r="I114" i="5"/>
  <c r="J114" i="5"/>
  <c r="D114" i="5" s="1"/>
  <c r="K114" i="5"/>
  <c r="B94" i="5"/>
  <c r="F94" i="5"/>
  <c r="F95" i="5"/>
  <c r="B96" i="5"/>
  <c r="F96" i="5"/>
  <c r="F97" i="5"/>
  <c r="D98" i="5"/>
  <c r="F98" i="5"/>
  <c r="F99" i="5"/>
  <c r="B100" i="5"/>
  <c r="D100" i="5"/>
  <c r="F100" i="5"/>
  <c r="E101" i="5"/>
  <c r="F101" i="5"/>
  <c r="B102" i="5"/>
  <c r="F102" i="5"/>
  <c r="AG94" i="5"/>
  <c r="AH94" i="5"/>
  <c r="AI94" i="5"/>
  <c r="AJ94" i="5"/>
  <c r="AG95" i="5"/>
  <c r="AH95" i="5"/>
  <c r="AI95" i="5"/>
  <c r="AJ95" i="5"/>
  <c r="AG96" i="5"/>
  <c r="AH96" i="5"/>
  <c r="AI96" i="5"/>
  <c r="AJ96" i="5"/>
  <c r="AG97" i="5"/>
  <c r="AH97" i="5"/>
  <c r="AI97" i="5"/>
  <c r="AJ97" i="5"/>
  <c r="AG98" i="5"/>
  <c r="AH98" i="5"/>
  <c r="AI98" i="5"/>
  <c r="AJ98" i="5"/>
  <c r="AG99" i="5"/>
  <c r="AH99" i="5"/>
  <c r="AI99" i="5"/>
  <c r="AJ99" i="5"/>
  <c r="AG100" i="5"/>
  <c r="AH100" i="5"/>
  <c r="AI100" i="5"/>
  <c r="AJ100" i="5"/>
  <c r="AG101" i="5"/>
  <c r="AH101" i="5"/>
  <c r="AI101" i="5"/>
  <c r="AJ101" i="5"/>
  <c r="AG102" i="5"/>
  <c r="AH102" i="5"/>
  <c r="AI102" i="5"/>
  <c r="AJ102" i="5"/>
  <c r="AB94" i="5"/>
  <c r="AC94" i="5"/>
  <c r="AD94" i="5"/>
  <c r="AE94" i="5"/>
  <c r="AB95" i="5"/>
  <c r="AC95" i="5"/>
  <c r="AD95" i="5"/>
  <c r="AE95" i="5"/>
  <c r="AB96" i="5"/>
  <c r="AC96" i="5"/>
  <c r="AD96" i="5"/>
  <c r="AE96" i="5"/>
  <c r="AB97" i="5"/>
  <c r="AC97" i="5"/>
  <c r="AD97" i="5"/>
  <c r="AE97" i="5"/>
  <c r="AB98" i="5"/>
  <c r="AC98" i="5"/>
  <c r="AD98" i="5"/>
  <c r="AE98" i="5"/>
  <c r="AB99" i="5"/>
  <c r="AC99" i="5"/>
  <c r="AD99" i="5"/>
  <c r="AE99" i="5"/>
  <c r="AB100" i="5"/>
  <c r="AC100" i="5"/>
  <c r="AD100" i="5"/>
  <c r="AE100" i="5"/>
  <c r="AB101" i="5"/>
  <c r="AC101" i="5"/>
  <c r="AD101" i="5"/>
  <c r="AE101" i="5"/>
  <c r="AB102" i="5"/>
  <c r="AC102" i="5"/>
  <c r="AD102" i="5"/>
  <c r="AE102" i="5"/>
  <c r="W94" i="5"/>
  <c r="X94" i="5"/>
  <c r="Y94" i="5"/>
  <c r="Z94" i="5"/>
  <c r="W95" i="5"/>
  <c r="X95" i="5"/>
  <c r="Y95" i="5"/>
  <c r="Z95" i="5"/>
  <c r="W96" i="5"/>
  <c r="X96" i="5"/>
  <c r="Y96" i="5"/>
  <c r="Z96" i="5"/>
  <c r="W97" i="5"/>
  <c r="X97" i="5"/>
  <c r="Y97" i="5"/>
  <c r="Z97" i="5"/>
  <c r="W98" i="5"/>
  <c r="X98" i="5"/>
  <c r="Y98" i="5"/>
  <c r="Z98" i="5"/>
  <c r="W99" i="5"/>
  <c r="X99" i="5"/>
  <c r="Y99" i="5"/>
  <c r="Z99" i="5"/>
  <c r="W100" i="5"/>
  <c r="X100" i="5"/>
  <c r="Y100" i="5"/>
  <c r="Z100" i="5"/>
  <c r="W101" i="5"/>
  <c r="X101" i="5"/>
  <c r="Y101" i="5"/>
  <c r="Z101" i="5"/>
  <c r="W102" i="5"/>
  <c r="X102" i="5"/>
  <c r="Y102" i="5"/>
  <c r="Z102" i="5"/>
  <c r="R94" i="5"/>
  <c r="S94" i="5"/>
  <c r="T94" i="5"/>
  <c r="U94" i="5"/>
  <c r="R95" i="5"/>
  <c r="S95" i="5"/>
  <c r="T95" i="5"/>
  <c r="U95" i="5"/>
  <c r="R96" i="5"/>
  <c r="S96" i="5"/>
  <c r="T96" i="5"/>
  <c r="U96" i="5"/>
  <c r="R97" i="5"/>
  <c r="S97" i="5"/>
  <c r="T97" i="5"/>
  <c r="U97" i="5"/>
  <c r="R98" i="5"/>
  <c r="S98" i="5"/>
  <c r="T98" i="5"/>
  <c r="U98" i="5"/>
  <c r="R99" i="5"/>
  <c r="S99" i="5"/>
  <c r="T99" i="5"/>
  <c r="U99" i="5"/>
  <c r="R100" i="5"/>
  <c r="S100" i="5"/>
  <c r="T100" i="5"/>
  <c r="U100" i="5"/>
  <c r="R101" i="5"/>
  <c r="S101" i="5"/>
  <c r="T101" i="5"/>
  <c r="U101" i="5"/>
  <c r="R102" i="5"/>
  <c r="S102" i="5"/>
  <c r="T102" i="5"/>
  <c r="U102" i="5"/>
  <c r="M94" i="5"/>
  <c r="N94" i="5"/>
  <c r="O94" i="5"/>
  <c r="P94" i="5"/>
  <c r="M95" i="5"/>
  <c r="N95" i="5"/>
  <c r="O95" i="5"/>
  <c r="P95" i="5"/>
  <c r="E95" i="5" s="1"/>
  <c r="M96" i="5"/>
  <c r="N96" i="5"/>
  <c r="O96" i="5"/>
  <c r="P96" i="5"/>
  <c r="M97" i="5"/>
  <c r="N97" i="5"/>
  <c r="O97" i="5"/>
  <c r="P97" i="5"/>
  <c r="E97" i="5" s="1"/>
  <c r="M98" i="5"/>
  <c r="N98" i="5"/>
  <c r="O98" i="5"/>
  <c r="P98" i="5"/>
  <c r="M99" i="5"/>
  <c r="N99" i="5"/>
  <c r="O99" i="5"/>
  <c r="P99" i="5"/>
  <c r="M100" i="5"/>
  <c r="N100" i="5"/>
  <c r="O100" i="5"/>
  <c r="P100" i="5"/>
  <c r="M101" i="5"/>
  <c r="N101" i="5"/>
  <c r="O101" i="5"/>
  <c r="P101" i="5"/>
  <c r="M102" i="5"/>
  <c r="N102" i="5"/>
  <c r="O102" i="5"/>
  <c r="P102" i="5"/>
  <c r="H94" i="5"/>
  <c r="I94" i="5"/>
  <c r="C94" i="5" s="1"/>
  <c r="J94" i="5"/>
  <c r="D94" i="5" s="1"/>
  <c r="K94" i="5"/>
  <c r="H95" i="5"/>
  <c r="I95" i="5"/>
  <c r="J95" i="5"/>
  <c r="K95" i="5"/>
  <c r="H96" i="5"/>
  <c r="I96" i="5"/>
  <c r="C96" i="5" s="1"/>
  <c r="J96" i="5"/>
  <c r="D96" i="5" s="1"/>
  <c r="K96" i="5"/>
  <c r="H97" i="5"/>
  <c r="I97" i="5"/>
  <c r="J97" i="5"/>
  <c r="K97" i="5"/>
  <c r="H98" i="5"/>
  <c r="B98" i="5" s="1"/>
  <c r="I98" i="5"/>
  <c r="C98" i="5" s="1"/>
  <c r="J98" i="5"/>
  <c r="K98" i="5"/>
  <c r="H99" i="5"/>
  <c r="I99" i="5"/>
  <c r="J99" i="5"/>
  <c r="K99" i="5"/>
  <c r="E99" i="5" s="1"/>
  <c r="H100" i="5"/>
  <c r="I100" i="5"/>
  <c r="C100" i="5" s="1"/>
  <c r="J100" i="5"/>
  <c r="K100" i="5"/>
  <c r="H101" i="5"/>
  <c r="I101" i="5"/>
  <c r="J101" i="5"/>
  <c r="K101" i="5"/>
  <c r="H102" i="5"/>
  <c r="I102" i="5"/>
  <c r="C102" i="5" s="1"/>
  <c r="J102" i="5"/>
  <c r="D102" i="5" s="1"/>
  <c r="K102" i="5"/>
  <c r="F82" i="5"/>
  <c r="F83" i="5"/>
  <c r="E84" i="5"/>
  <c r="F84" i="5"/>
  <c r="F85" i="5"/>
  <c r="C86" i="5"/>
  <c r="F86" i="5"/>
  <c r="F87" i="5"/>
  <c r="C88" i="5"/>
  <c r="E88" i="5"/>
  <c r="F88" i="5"/>
  <c r="E89" i="5"/>
  <c r="F89" i="5"/>
  <c r="F90" i="5"/>
  <c r="AG82" i="5"/>
  <c r="AH82" i="5"/>
  <c r="AI82" i="5"/>
  <c r="AJ82" i="5"/>
  <c r="AG83" i="5"/>
  <c r="AH83" i="5"/>
  <c r="AI83" i="5"/>
  <c r="AJ83" i="5"/>
  <c r="AG84" i="5"/>
  <c r="AH84" i="5"/>
  <c r="AI84" i="5"/>
  <c r="AJ84" i="5"/>
  <c r="AG85" i="5"/>
  <c r="AH85" i="5"/>
  <c r="AI85" i="5"/>
  <c r="AJ85" i="5"/>
  <c r="AG86" i="5"/>
  <c r="AH86" i="5"/>
  <c r="AI86" i="5"/>
  <c r="AJ86" i="5"/>
  <c r="AG87" i="5"/>
  <c r="AH87" i="5"/>
  <c r="AI87" i="5"/>
  <c r="AJ87" i="5"/>
  <c r="AG88" i="5"/>
  <c r="AH88" i="5"/>
  <c r="AI88" i="5"/>
  <c r="AJ88" i="5"/>
  <c r="AG89" i="5"/>
  <c r="AH89" i="5"/>
  <c r="AI89" i="5"/>
  <c r="AJ89" i="5"/>
  <c r="AG90" i="5"/>
  <c r="AH90" i="5"/>
  <c r="AI90" i="5"/>
  <c r="AJ90" i="5"/>
  <c r="AB82" i="5"/>
  <c r="AC82" i="5"/>
  <c r="AD82" i="5"/>
  <c r="AE82" i="5"/>
  <c r="AB83" i="5"/>
  <c r="AC83" i="5"/>
  <c r="AD83" i="5"/>
  <c r="AE83" i="5"/>
  <c r="AB84" i="5"/>
  <c r="AC84" i="5"/>
  <c r="AD84" i="5"/>
  <c r="AE84" i="5"/>
  <c r="AB85" i="5"/>
  <c r="AC85" i="5"/>
  <c r="AD85" i="5"/>
  <c r="AE85" i="5"/>
  <c r="AB86" i="5"/>
  <c r="AC86" i="5"/>
  <c r="AD86" i="5"/>
  <c r="AE86" i="5"/>
  <c r="AB87" i="5"/>
  <c r="AC87" i="5"/>
  <c r="AD87" i="5"/>
  <c r="AE87" i="5"/>
  <c r="AB88" i="5"/>
  <c r="AC88" i="5"/>
  <c r="AD88" i="5"/>
  <c r="AE88" i="5"/>
  <c r="AB89" i="5"/>
  <c r="AC89" i="5"/>
  <c r="AD89" i="5"/>
  <c r="AE89" i="5"/>
  <c r="AB90" i="5"/>
  <c r="AC90" i="5"/>
  <c r="AD90" i="5"/>
  <c r="AE90" i="5"/>
  <c r="W82" i="5"/>
  <c r="X82" i="5"/>
  <c r="Y82" i="5"/>
  <c r="Z82" i="5"/>
  <c r="W83" i="5"/>
  <c r="X83" i="5"/>
  <c r="Y83" i="5"/>
  <c r="Z83" i="5"/>
  <c r="W84" i="5"/>
  <c r="X84" i="5"/>
  <c r="Y84" i="5"/>
  <c r="Z84" i="5"/>
  <c r="W85" i="5"/>
  <c r="X85" i="5"/>
  <c r="Y85" i="5"/>
  <c r="Z85" i="5"/>
  <c r="W86" i="5"/>
  <c r="X86" i="5"/>
  <c r="Y86" i="5"/>
  <c r="Z86" i="5"/>
  <c r="W87" i="5"/>
  <c r="X87" i="5"/>
  <c r="Y87" i="5"/>
  <c r="Z87" i="5"/>
  <c r="W88" i="5"/>
  <c r="X88" i="5"/>
  <c r="Y88" i="5"/>
  <c r="Z88" i="5"/>
  <c r="W89" i="5"/>
  <c r="X89" i="5"/>
  <c r="Y89" i="5"/>
  <c r="Z89" i="5"/>
  <c r="W90" i="5"/>
  <c r="X90" i="5"/>
  <c r="Y90" i="5"/>
  <c r="Z90" i="5"/>
  <c r="R82" i="5"/>
  <c r="S82" i="5"/>
  <c r="T82" i="5"/>
  <c r="U82" i="5"/>
  <c r="R83" i="5"/>
  <c r="S83" i="5"/>
  <c r="T83" i="5"/>
  <c r="U83" i="5"/>
  <c r="R84" i="5"/>
  <c r="S84" i="5"/>
  <c r="T84" i="5"/>
  <c r="U84" i="5"/>
  <c r="R85" i="5"/>
  <c r="S85" i="5"/>
  <c r="T85" i="5"/>
  <c r="U85" i="5"/>
  <c r="R86" i="5"/>
  <c r="S86" i="5"/>
  <c r="T86" i="5"/>
  <c r="U86" i="5"/>
  <c r="R87" i="5"/>
  <c r="S87" i="5"/>
  <c r="T87" i="5"/>
  <c r="U87" i="5"/>
  <c r="R88" i="5"/>
  <c r="S88" i="5"/>
  <c r="T88" i="5"/>
  <c r="U88" i="5"/>
  <c r="R89" i="5"/>
  <c r="S89" i="5"/>
  <c r="T89" i="5"/>
  <c r="U89" i="5"/>
  <c r="R90" i="5"/>
  <c r="S90" i="5"/>
  <c r="T90" i="5"/>
  <c r="U90" i="5"/>
  <c r="M82" i="5"/>
  <c r="N82" i="5"/>
  <c r="O82" i="5"/>
  <c r="P82" i="5"/>
  <c r="M83" i="5"/>
  <c r="N83" i="5"/>
  <c r="O83" i="5"/>
  <c r="P83" i="5"/>
  <c r="M84" i="5"/>
  <c r="N84" i="5"/>
  <c r="O84" i="5"/>
  <c r="P84" i="5"/>
  <c r="M85" i="5"/>
  <c r="N85" i="5"/>
  <c r="O85" i="5"/>
  <c r="P85" i="5"/>
  <c r="M86" i="5"/>
  <c r="N86" i="5"/>
  <c r="O86" i="5"/>
  <c r="P86" i="5"/>
  <c r="M87" i="5"/>
  <c r="N87" i="5"/>
  <c r="O87" i="5"/>
  <c r="P87" i="5"/>
  <c r="M88" i="5"/>
  <c r="N88" i="5"/>
  <c r="O88" i="5"/>
  <c r="P88" i="5"/>
  <c r="M89" i="5"/>
  <c r="N89" i="5"/>
  <c r="O89" i="5"/>
  <c r="P89" i="5"/>
  <c r="M90" i="5"/>
  <c r="N90" i="5"/>
  <c r="O90" i="5"/>
  <c r="P90" i="5"/>
  <c r="H82" i="5"/>
  <c r="B82" i="5" s="1"/>
  <c r="I82" i="5"/>
  <c r="C82" i="5" s="1"/>
  <c r="J82" i="5"/>
  <c r="D82" i="5" s="1"/>
  <c r="K82" i="5"/>
  <c r="H83" i="5"/>
  <c r="I83" i="5"/>
  <c r="J83" i="5"/>
  <c r="K83" i="5"/>
  <c r="E83" i="5" s="1"/>
  <c r="H84" i="5"/>
  <c r="B84" i="5" s="1"/>
  <c r="I84" i="5"/>
  <c r="C84" i="5" s="1"/>
  <c r="J84" i="5"/>
  <c r="D84" i="5" s="1"/>
  <c r="K84" i="5"/>
  <c r="H85" i="5"/>
  <c r="I85" i="5"/>
  <c r="J85" i="5"/>
  <c r="K85" i="5"/>
  <c r="E85" i="5" s="1"/>
  <c r="H86" i="5"/>
  <c r="B86" i="5" s="1"/>
  <c r="I86" i="5"/>
  <c r="J86" i="5"/>
  <c r="D86" i="5" s="1"/>
  <c r="K86" i="5"/>
  <c r="H87" i="5"/>
  <c r="I87" i="5"/>
  <c r="J87" i="5"/>
  <c r="K87" i="5"/>
  <c r="E87" i="5" s="1"/>
  <c r="H88" i="5"/>
  <c r="B88" i="5" s="1"/>
  <c r="I88" i="5"/>
  <c r="J88" i="5"/>
  <c r="D88" i="5" s="1"/>
  <c r="K88" i="5"/>
  <c r="H89" i="5"/>
  <c r="I89" i="5"/>
  <c r="J89" i="5"/>
  <c r="K89" i="5"/>
  <c r="H90" i="5"/>
  <c r="B90" i="5" s="1"/>
  <c r="I90" i="5"/>
  <c r="C90" i="5" s="1"/>
  <c r="J90" i="5"/>
  <c r="D90" i="5" s="1"/>
  <c r="K90" i="5"/>
  <c r="F70" i="5"/>
  <c r="F71" i="5"/>
  <c r="F72" i="5"/>
  <c r="F73" i="5"/>
  <c r="F74" i="5"/>
  <c r="F75" i="5"/>
  <c r="B76" i="5"/>
  <c r="F76" i="5"/>
  <c r="F77" i="5"/>
  <c r="F78" i="5"/>
  <c r="AG70" i="5"/>
  <c r="AH70" i="5"/>
  <c r="AI70" i="5"/>
  <c r="AJ70" i="5"/>
  <c r="AG71" i="5"/>
  <c r="AH71" i="5"/>
  <c r="AI71" i="5"/>
  <c r="AJ71" i="5"/>
  <c r="AG72" i="5"/>
  <c r="AH72" i="5"/>
  <c r="AI72" i="5"/>
  <c r="AJ72" i="5"/>
  <c r="AG73" i="5"/>
  <c r="AH73" i="5"/>
  <c r="AI73" i="5"/>
  <c r="AJ73" i="5"/>
  <c r="AG74" i="5"/>
  <c r="AH74" i="5"/>
  <c r="AI74" i="5"/>
  <c r="AJ74" i="5"/>
  <c r="AG75" i="5"/>
  <c r="AH75" i="5"/>
  <c r="AI75" i="5"/>
  <c r="AJ75" i="5"/>
  <c r="AG76" i="5"/>
  <c r="AH76" i="5"/>
  <c r="AI76" i="5"/>
  <c r="AJ76" i="5"/>
  <c r="AG77" i="5"/>
  <c r="AH77" i="5"/>
  <c r="AI77" i="5"/>
  <c r="AJ77" i="5"/>
  <c r="AG78" i="5"/>
  <c r="AH78" i="5"/>
  <c r="AI78" i="5"/>
  <c r="AJ78" i="5"/>
  <c r="AB70" i="5"/>
  <c r="AC70" i="5"/>
  <c r="AD70" i="5"/>
  <c r="AE70" i="5"/>
  <c r="AB71" i="5"/>
  <c r="AC71" i="5"/>
  <c r="AD71" i="5"/>
  <c r="AE71" i="5"/>
  <c r="AB72" i="5"/>
  <c r="AC72" i="5"/>
  <c r="AD72" i="5"/>
  <c r="AE72" i="5"/>
  <c r="AB73" i="5"/>
  <c r="AC73" i="5"/>
  <c r="AD73" i="5"/>
  <c r="AE73" i="5"/>
  <c r="AB74" i="5"/>
  <c r="AC74" i="5"/>
  <c r="AD74" i="5"/>
  <c r="AE74" i="5"/>
  <c r="AB75" i="5"/>
  <c r="AC75" i="5"/>
  <c r="AD75" i="5"/>
  <c r="AE75" i="5"/>
  <c r="AB76" i="5"/>
  <c r="AC76" i="5"/>
  <c r="AD76" i="5"/>
  <c r="AE76" i="5"/>
  <c r="AB77" i="5"/>
  <c r="AC77" i="5"/>
  <c r="AD77" i="5"/>
  <c r="AE77" i="5"/>
  <c r="AB78" i="5"/>
  <c r="AC78" i="5"/>
  <c r="AD78" i="5"/>
  <c r="AE78" i="5"/>
  <c r="W70" i="5"/>
  <c r="X70" i="5"/>
  <c r="Y70" i="5"/>
  <c r="Z70" i="5"/>
  <c r="W71" i="5"/>
  <c r="X71" i="5"/>
  <c r="Y71" i="5"/>
  <c r="Z71" i="5"/>
  <c r="W72" i="5"/>
  <c r="X72" i="5"/>
  <c r="Y72" i="5"/>
  <c r="Z72" i="5"/>
  <c r="W73" i="5"/>
  <c r="X73" i="5"/>
  <c r="Y73" i="5"/>
  <c r="Z73" i="5"/>
  <c r="W74" i="5"/>
  <c r="X74" i="5"/>
  <c r="Y74" i="5"/>
  <c r="Z74" i="5"/>
  <c r="W75" i="5"/>
  <c r="X75" i="5"/>
  <c r="Y75" i="5"/>
  <c r="Z75" i="5"/>
  <c r="W76" i="5"/>
  <c r="X76" i="5"/>
  <c r="Y76" i="5"/>
  <c r="Z76" i="5"/>
  <c r="W77" i="5"/>
  <c r="X77" i="5"/>
  <c r="Y77" i="5"/>
  <c r="Z77" i="5"/>
  <c r="W78" i="5"/>
  <c r="X78" i="5"/>
  <c r="Y78" i="5"/>
  <c r="Z78" i="5"/>
  <c r="R70" i="5"/>
  <c r="S70" i="5"/>
  <c r="T70" i="5"/>
  <c r="U70" i="5"/>
  <c r="R71" i="5"/>
  <c r="S71" i="5"/>
  <c r="T71" i="5"/>
  <c r="U71" i="5"/>
  <c r="R72" i="5"/>
  <c r="S72" i="5"/>
  <c r="T72" i="5"/>
  <c r="U72" i="5"/>
  <c r="R73" i="5"/>
  <c r="S73" i="5"/>
  <c r="T73" i="5"/>
  <c r="U73" i="5"/>
  <c r="R74" i="5"/>
  <c r="S74" i="5"/>
  <c r="T74" i="5"/>
  <c r="U74" i="5"/>
  <c r="R75" i="5"/>
  <c r="S75" i="5"/>
  <c r="T75" i="5"/>
  <c r="U75" i="5"/>
  <c r="R76" i="5"/>
  <c r="S76" i="5"/>
  <c r="T76" i="5"/>
  <c r="U76" i="5"/>
  <c r="R77" i="5"/>
  <c r="S77" i="5"/>
  <c r="T77" i="5"/>
  <c r="U77" i="5"/>
  <c r="R78" i="5"/>
  <c r="S78" i="5"/>
  <c r="T78" i="5"/>
  <c r="U78" i="5"/>
  <c r="M70" i="5"/>
  <c r="N70" i="5"/>
  <c r="O70" i="5"/>
  <c r="P70" i="5"/>
  <c r="M71" i="5"/>
  <c r="N71" i="5"/>
  <c r="O71" i="5"/>
  <c r="P71" i="5"/>
  <c r="M72" i="5"/>
  <c r="N72" i="5"/>
  <c r="O72" i="5"/>
  <c r="D72" i="5" s="1"/>
  <c r="P72" i="5"/>
  <c r="M73" i="5"/>
  <c r="N73" i="5"/>
  <c r="O73" i="5"/>
  <c r="P73" i="5"/>
  <c r="M74" i="5"/>
  <c r="N74" i="5"/>
  <c r="O74" i="5"/>
  <c r="D74" i="5" s="1"/>
  <c r="P74" i="5"/>
  <c r="M75" i="5"/>
  <c r="N75" i="5"/>
  <c r="O75" i="5"/>
  <c r="P75" i="5"/>
  <c r="M76" i="5"/>
  <c r="N76" i="5"/>
  <c r="O76" i="5"/>
  <c r="D76" i="5" s="1"/>
  <c r="P76" i="5"/>
  <c r="M77" i="5"/>
  <c r="N77" i="5"/>
  <c r="O77" i="5"/>
  <c r="P77" i="5"/>
  <c r="M78" i="5"/>
  <c r="N78" i="5"/>
  <c r="O78" i="5"/>
  <c r="P78" i="5"/>
  <c r="H70" i="5"/>
  <c r="I70" i="5"/>
  <c r="C70" i="5" s="1"/>
  <c r="J70" i="5"/>
  <c r="K70" i="5"/>
  <c r="E70" i="5" s="1"/>
  <c r="H71" i="5"/>
  <c r="I71" i="5"/>
  <c r="J71" i="5"/>
  <c r="D71" i="5" s="1"/>
  <c r="K71" i="5"/>
  <c r="E71" i="5" s="1"/>
  <c r="H72" i="5"/>
  <c r="I72" i="5"/>
  <c r="C72" i="5" s="1"/>
  <c r="J72" i="5"/>
  <c r="K72" i="5"/>
  <c r="E72" i="5" s="1"/>
  <c r="H73" i="5"/>
  <c r="I73" i="5"/>
  <c r="J73" i="5"/>
  <c r="K73" i="5"/>
  <c r="E73" i="5" s="1"/>
  <c r="H74" i="5"/>
  <c r="B74" i="5" s="1"/>
  <c r="I74" i="5"/>
  <c r="C74" i="5" s="1"/>
  <c r="J74" i="5"/>
  <c r="K74" i="5"/>
  <c r="E74" i="5" s="1"/>
  <c r="H75" i="5"/>
  <c r="I75" i="5"/>
  <c r="J75" i="5"/>
  <c r="K75" i="5"/>
  <c r="E75" i="5" s="1"/>
  <c r="H76" i="5"/>
  <c r="I76" i="5"/>
  <c r="C76" i="5" s="1"/>
  <c r="J76" i="5"/>
  <c r="K76" i="5"/>
  <c r="E76" i="5" s="1"/>
  <c r="H77" i="5"/>
  <c r="I77" i="5"/>
  <c r="J77" i="5"/>
  <c r="K77" i="5"/>
  <c r="E77" i="5" s="1"/>
  <c r="H78" i="5"/>
  <c r="B78" i="5" s="1"/>
  <c r="I78" i="5"/>
  <c r="C78" i="5" s="1"/>
  <c r="J78" i="5"/>
  <c r="K78" i="5"/>
  <c r="E78" i="5" s="1"/>
  <c r="E58" i="5"/>
  <c r="F58" i="5"/>
  <c r="F59" i="5"/>
  <c r="C60" i="5"/>
  <c r="F60" i="5"/>
  <c r="F61" i="5"/>
  <c r="C62" i="5"/>
  <c r="E62" i="5"/>
  <c r="F62" i="5"/>
  <c r="F63" i="5"/>
  <c r="C64" i="5"/>
  <c r="F64" i="5"/>
  <c r="F65" i="5"/>
  <c r="E66" i="5"/>
  <c r="F66" i="5"/>
  <c r="AG58" i="5"/>
  <c r="AH58" i="5"/>
  <c r="AI58" i="5"/>
  <c r="AJ58" i="5"/>
  <c r="AG59" i="5"/>
  <c r="AH59" i="5"/>
  <c r="AI59" i="5"/>
  <c r="AJ59" i="5"/>
  <c r="AG60" i="5"/>
  <c r="AH60" i="5"/>
  <c r="AI60" i="5"/>
  <c r="AJ60" i="5"/>
  <c r="AG61" i="5"/>
  <c r="AH61" i="5"/>
  <c r="AI61" i="5"/>
  <c r="AJ61" i="5"/>
  <c r="AG62" i="5"/>
  <c r="AH62" i="5"/>
  <c r="AI62" i="5"/>
  <c r="AJ62" i="5"/>
  <c r="AG63" i="5"/>
  <c r="AH63" i="5"/>
  <c r="AI63" i="5"/>
  <c r="AJ63" i="5"/>
  <c r="AG64" i="5"/>
  <c r="AH64" i="5"/>
  <c r="AI64" i="5"/>
  <c r="AJ64" i="5"/>
  <c r="AG65" i="5"/>
  <c r="AH65" i="5"/>
  <c r="AI65" i="5"/>
  <c r="AJ65" i="5"/>
  <c r="AG66" i="5"/>
  <c r="AH66" i="5"/>
  <c r="AI66" i="5"/>
  <c r="AJ66" i="5"/>
  <c r="AB58" i="5"/>
  <c r="AC58" i="5"/>
  <c r="AD58" i="5"/>
  <c r="AE58" i="5"/>
  <c r="AB59" i="5"/>
  <c r="AC59" i="5"/>
  <c r="AD59" i="5"/>
  <c r="AE59" i="5"/>
  <c r="AB60" i="5"/>
  <c r="AC60" i="5"/>
  <c r="AD60" i="5"/>
  <c r="AE60" i="5"/>
  <c r="AB61" i="5"/>
  <c r="AC61" i="5"/>
  <c r="AD61" i="5"/>
  <c r="AE61" i="5"/>
  <c r="AB62" i="5"/>
  <c r="AC62" i="5"/>
  <c r="AD62" i="5"/>
  <c r="AE62" i="5"/>
  <c r="AB63" i="5"/>
  <c r="AC63" i="5"/>
  <c r="AD63" i="5"/>
  <c r="AE63" i="5"/>
  <c r="AB64" i="5"/>
  <c r="AC64" i="5"/>
  <c r="AD64" i="5"/>
  <c r="AE64" i="5"/>
  <c r="AB65" i="5"/>
  <c r="AC65" i="5"/>
  <c r="AD65" i="5"/>
  <c r="AE65" i="5"/>
  <c r="AB66" i="5"/>
  <c r="AC66" i="5"/>
  <c r="AD66" i="5"/>
  <c r="AE66" i="5"/>
  <c r="W58" i="5"/>
  <c r="X58" i="5"/>
  <c r="Y58" i="5"/>
  <c r="Z58" i="5"/>
  <c r="W59" i="5"/>
  <c r="X59" i="5"/>
  <c r="Y59" i="5"/>
  <c r="Z59" i="5"/>
  <c r="W60" i="5"/>
  <c r="X60" i="5"/>
  <c r="Y60" i="5"/>
  <c r="Z60" i="5"/>
  <c r="W61" i="5"/>
  <c r="X61" i="5"/>
  <c r="Y61" i="5"/>
  <c r="Z61" i="5"/>
  <c r="W62" i="5"/>
  <c r="X62" i="5"/>
  <c r="Y62" i="5"/>
  <c r="Z62" i="5"/>
  <c r="W63" i="5"/>
  <c r="X63" i="5"/>
  <c r="Y63" i="5"/>
  <c r="Z63" i="5"/>
  <c r="W64" i="5"/>
  <c r="X64" i="5"/>
  <c r="Y64" i="5"/>
  <c r="Z64" i="5"/>
  <c r="W65" i="5"/>
  <c r="X65" i="5"/>
  <c r="Y65" i="5"/>
  <c r="Z65" i="5"/>
  <c r="W66" i="5"/>
  <c r="X66" i="5"/>
  <c r="Y66" i="5"/>
  <c r="Z66" i="5"/>
  <c r="R58" i="5"/>
  <c r="S58" i="5"/>
  <c r="T58" i="5"/>
  <c r="U58" i="5"/>
  <c r="R59" i="5"/>
  <c r="S59" i="5"/>
  <c r="T59" i="5"/>
  <c r="U59" i="5"/>
  <c r="R60" i="5"/>
  <c r="S60" i="5"/>
  <c r="T60" i="5"/>
  <c r="U60" i="5"/>
  <c r="R61" i="5"/>
  <c r="S61" i="5"/>
  <c r="T61" i="5"/>
  <c r="U61" i="5"/>
  <c r="R62" i="5"/>
  <c r="S62" i="5"/>
  <c r="T62" i="5"/>
  <c r="U62" i="5"/>
  <c r="R63" i="5"/>
  <c r="S63" i="5"/>
  <c r="T63" i="5"/>
  <c r="U63" i="5"/>
  <c r="R64" i="5"/>
  <c r="S64" i="5"/>
  <c r="T64" i="5"/>
  <c r="U64" i="5"/>
  <c r="R65" i="5"/>
  <c r="S65" i="5"/>
  <c r="T65" i="5"/>
  <c r="U65" i="5"/>
  <c r="R66" i="5"/>
  <c r="S66" i="5"/>
  <c r="T66" i="5"/>
  <c r="U66" i="5"/>
  <c r="M58" i="5"/>
  <c r="N58" i="5"/>
  <c r="O58" i="5"/>
  <c r="P58" i="5"/>
  <c r="M59" i="5"/>
  <c r="N59" i="5"/>
  <c r="O59" i="5"/>
  <c r="P59" i="5"/>
  <c r="M60" i="5"/>
  <c r="N60" i="5"/>
  <c r="O60" i="5"/>
  <c r="P60" i="5"/>
  <c r="M61" i="5"/>
  <c r="N61" i="5"/>
  <c r="O61" i="5"/>
  <c r="P61" i="5"/>
  <c r="M62" i="5"/>
  <c r="N62" i="5"/>
  <c r="O62" i="5"/>
  <c r="P62" i="5"/>
  <c r="M63" i="5"/>
  <c r="N63" i="5"/>
  <c r="O63" i="5"/>
  <c r="P63" i="5"/>
  <c r="M64" i="5"/>
  <c r="N64" i="5"/>
  <c r="O64" i="5"/>
  <c r="P64" i="5"/>
  <c r="M65" i="5"/>
  <c r="N65" i="5"/>
  <c r="O65" i="5"/>
  <c r="P65" i="5"/>
  <c r="M66" i="5"/>
  <c r="N66" i="5"/>
  <c r="O66" i="5"/>
  <c r="P66" i="5"/>
  <c r="H58" i="5"/>
  <c r="B58" i="5" s="1"/>
  <c r="I58" i="5"/>
  <c r="C58" i="5" s="1"/>
  <c r="J58" i="5"/>
  <c r="D58" i="5" s="1"/>
  <c r="K58" i="5"/>
  <c r="H59" i="5"/>
  <c r="I59" i="5"/>
  <c r="J59" i="5"/>
  <c r="K59" i="5"/>
  <c r="E59" i="5" s="1"/>
  <c r="H60" i="5"/>
  <c r="B60" i="5" s="1"/>
  <c r="I60" i="5"/>
  <c r="J60" i="5"/>
  <c r="D60" i="5" s="1"/>
  <c r="K60" i="5"/>
  <c r="H61" i="5"/>
  <c r="I61" i="5"/>
  <c r="J61" i="5"/>
  <c r="K61" i="5"/>
  <c r="E61" i="5" s="1"/>
  <c r="H62" i="5"/>
  <c r="B62" i="5" s="1"/>
  <c r="I62" i="5"/>
  <c r="J62" i="5"/>
  <c r="D62" i="5" s="1"/>
  <c r="K62" i="5"/>
  <c r="H63" i="5"/>
  <c r="B63" i="5" s="1"/>
  <c r="I63" i="5"/>
  <c r="J63" i="5"/>
  <c r="K63" i="5"/>
  <c r="E63" i="5" s="1"/>
  <c r="H64" i="5"/>
  <c r="B64" i="5" s="1"/>
  <c r="I64" i="5"/>
  <c r="J64" i="5"/>
  <c r="D64" i="5" s="1"/>
  <c r="K64" i="5"/>
  <c r="E64" i="5" s="1"/>
  <c r="H65" i="5"/>
  <c r="I65" i="5"/>
  <c r="J65" i="5"/>
  <c r="K65" i="5"/>
  <c r="E65" i="5" s="1"/>
  <c r="H66" i="5"/>
  <c r="B66" i="5" s="1"/>
  <c r="I66" i="5"/>
  <c r="C66" i="5" s="1"/>
  <c r="J66" i="5"/>
  <c r="D66" i="5" s="1"/>
  <c r="K66" i="5"/>
  <c r="D46" i="5"/>
  <c r="F46" i="5"/>
  <c r="F47" i="5"/>
  <c r="B48" i="5"/>
  <c r="D48" i="5"/>
  <c r="F48" i="5"/>
  <c r="E49" i="5"/>
  <c r="F49" i="5"/>
  <c r="B50" i="5"/>
  <c r="D50" i="5"/>
  <c r="F50" i="5"/>
  <c r="F51" i="5"/>
  <c r="B52" i="5"/>
  <c r="F52" i="5"/>
  <c r="B53" i="5"/>
  <c r="F53" i="5"/>
  <c r="D54" i="5"/>
  <c r="F54" i="5"/>
  <c r="AG46" i="5"/>
  <c r="AH46" i="5"/>
  <c r="AI46" i="5"/>
  <c r="AJ46" i="5"/>
  <c r="AG47" i="5"/>
  <c r="AH47" i="5"/>
  <c r="AI47" i="5"/>
  <c r="AJ47" i="5"/>
  <c r="AG48" i="5"/>
  <c r="AH48" i="5"/>
  <c r="AI48" i="5"/>
  <c r="AJ48" i="5"/>
  <c r="AG49" i="5"/>
  <c r="AH49" i="5"/>
  <c r="AI49" i="5"/>
  <c r="AJ49" i="5"/>
  <c r="AG50" i="5"/>
  <c r="AH50" i="5"/>
  <c r="AI50" i="5"/>
  <c r="AJ50" i="5"/>
  <c r="AG51" i="5"/>
  <c r="AH51" i="5"/>
  <c r="AI51" i="5"/>
  <c r="AJ51" i="5"/>
  <c r="AG52" i="5"/>
  <c r="AH52" i="5"/>
  <c r="AI52" i="5"/>
  <c r="AJ52" i="5"/>
  <c r="AG53" i="5"/>
  <c r="AH53" i="5"/>
  <c r="AI53" i="5"/>
  <c r="AJ53" i="5"/>
  <c r="AG54" i="5"/>
  <c r="AH54" i="5"/>
  <c r="AI54" i="5"/>
  <c r="AJ54" i="5"/>
  <c r="AB46" i="5"/>
  <c r="AC46" i="5"/>
  <c r="AD46" i="5"/>
  <c r="AE46" i="5"/>
  <c r="AB47" i="5"/>
  <c r="AC47" i="5"/>
  <c r="AD47" i="5"/>
  <c r="AE47" i="5"/>
  <c r="AB48" i="5"/>
  <c r="AC48" i="5"/>
  <c r="AD48" i="5"/>
  <c r="AE48" i="5"/>
  <c r="AB49" i="5"/>
  <c r="AC49" i="5"/>
  <c r="AD49" i="5"/>
  <c r="AE49" i="5"/>
  <c r="AB50" i="5"/>
  <c r="AC50" i="5"/>
  <c r="AD50" i="5"/>
  <c r="AE50" i="5"/>
  <c r="AB51" i="5"/>
  <c r="AC51" i="5"/>
  <c r="AD51" i="5"/>
  <c r="AE51" i="5"/>
  <c r="AB52" i="5"/>
  <c r="AC52" i="5"/>
  <c r="AD52" i="5"/>
  <c r="AE52" i="5"/>
  <c r="AB53" i="5"/>
  <c r="AC53" i="5"/>
  <c r="AD53" i="5"/>
  <c r="AE53" i="5"/>
  <c r="AB54" i="5"/>
  <c r="AC54" i="5"/>
  <c r="AD54" i="5"/>
  <c r="AE54" i="5"/>
  <c r="W46" i="5"/>
  <c r="X46" i="5"/>
  <c r="Y46" i="5"/>
  <c r="Z46" i="5"/>
  <c r="W47" i="5"/>
  <c r="X47" i="5"/>
  <c r="Y47" i="5"/>
  <c r="Z47" i="5"/>
  <c r="W48" i="5"/>
  <c r="X48" i="5"/>
  <c r="Y48" i="5"/>
  <c r="Z48" i="5"/>
  <c r="W49" i="5"/>
  <c r="X49" i="5"/>
  <c r="Y49" i="5"/>
  <c r="Z49" i="5"/>
  <c r="W50" i="5"/>
  <c r="X50" i="5"/>
  <c r="Y50" i="5"/>
  <c r="Z50" i="5"/>
  <c r="W51" i="5"/>
  <c r="X51" i="5"/>
  <c r="Y51" i="5"/>
  <c r="Z51" i="5"/>
  <c r="W52" i="5"/>
  <c r="X52" i="5"/>
  <c r="Y52" i="5"/>
  <c r="Z52" i="5"/>
  <c r="W53" i="5"/>
  <c r="X53" i="5"/>
  <c r="Y53" i="5"/>
  <c r="Z53" i="5"/>
  <c r="W54" i="5"/>
  <c r="X54" i="5"/>
  <c r="Y54" i="5"/>
  <c r="Z54" i="5"/>
  <c r="R46" i="5"/>
  <c r="S46" i="5"/>
  <c r="T46" i="5"/>
  <c r="U46" i="5"/>
  <c r="R47" i="5"/>
  <c r="S47" i="5"/>
  <c r="T47" i="5"/>
  <c r="U47" i="5"/>
  <c r="R48" i="5"/>
  <c r="S48" i="5"/>
  <c r="T48" i="5"/>
  <c r="U48" i="5"/>
  <c r="R49" i="5"/>
  <c r="S49" i="5"/>
  <c r="T49" i="5"/>
  <c r="U49" i="5"/>
  <c r="R50" i="5"/>
  <c r="S50" i="5"/>
  <c r="T50" i="5"/>
  <c r="U50" i="5"/>
  <c r="R51" i="5"/>
  <c r="S51" i="5"/>
  <c r="T51" i="5"/>
  <c r="U51" i="5"/>
  <c r="R52" i="5"/>
  <c r="S52" i="5"/>
  <c r="T52" i="5"/>
  <c r="U52" i="5"/>
  <c r="R53" i="5"/>
  <c r="S53" i="5"/>
  <c r="T53" i="5"/>
  <c r="U53" i="5"/>
  <c r="R54" i="5"/>
  <c r="S54" i="5"/>
  <c r="T54" i="5"/>
  <c r="U54" i="5"/>
  <c r="M46" i="5"/>
  <c r="N46" i="5"/>
  <c r="O46" i="5"/>
  <c r="P46" i="5"/>
  <c r="E46" i="5" s="1"/>
  <c r="M47" i="5"/>
  <c r="N47" i="5"/>
  <c r="O47" i="5"/>
  <c r="P47" i="5"/>
  <c r="M48" i="5"/>
  <c r="N48" i="5"/>
  <c r="O48" i="5"/>
  <c r="P48" i="5"/>
  <c r="M49" i="5"/>
  <c r="N49" i="5"/>
  <c r="O49" i="5"/>
  <c r="P49" i="5"/>
  <c r="M50" i="5"/>
  <c r="N50" i="5"/>
  <c r="O50" i="5"/>
  <c r="P50" i="5"/>
  <c r="M51" i="5"/>
  <c r="N51" i="5"/>
  <c r="O51" i="5"/>
  <c r="P51" i="5"/>
  <c r="M52" i="5"/>
  <c r="N52" i="5"/>
  <c r="O52" i="5"/>
  <c r="P52" i="5"/>
  <c r="M53" i="5"/>
  <c r="N53" i="5"/>
  <c r="O53" i="5"/>
  <c r="P53" i="5"/>
  <c r="M54" i="5"/>
  <c r="N54" i="5"/>
  <c r="O54" i="5"/>
  <c r="P54" i="5"/>
  <c r="E54" i="5" s="1"/>
  <c r="H46" i="5"/>
  <c r="B46" i="5" s="1"/>
  <c r="I46" i="5"/>
  <c r="C46" i="5" s="1"/>
  <c r="J46" i="5"/>
  <c r="K46" i="5"/>
  <c r="H47" i="5"/>
  <c r="I47" i="5"/>
  <c r="J47" i="5"/>
  <c r="D47" i="5" s="1"/>
  <c r="K47" i="5"/>
  <c r="E47" i="5" s="1"/>
  <c r="H48" i="5"/>
  <c r="I48" i="5"/>
  <c r="C48" i="5" s="1"/>
  <c r="J48" i="5"/>
  <c r="K48" i="5"/>
  <c r="E48" i="5" s="1"/>
  <c r="H49" i="5"/>
  <c r="I49" i="5"/>
  <c r="J49" i="5"/>
  <c r="D49" i="5" s="1"/>
  <c r="K49" i="5"/>
  <c r="H50" i="5"/>
  <c r="I50" i="5"/>
  <c r="C50" i="5" s="1"/>
  <c r="J50" i="5"/>
  <c r="K50" i="5"/>
  <c r="E50" i="5" s="1"/>
  <c r="H51" i="5"/>
  <c r="I51" i="5"/>
  <c r="J51" i="5"/>
  <c r="D51" i="5" s="1"/>
  <c r="K51" i="5"/>
  <c r="E51" i="5" s="1"/>
  <c r="H52" i="5"/>
  <c r="I52" i="5"/>
  <c r="C52" i="5" s="1"/>
  <c r="J52" i="5"/>
  <c r="D52" i="5" s="1"/>
  <c r="K52" i="5"/>
  <c r="E52" i="5" s="1"/>
  <c r="H53" i="5"/>
  <c r="I53" i="5"/>
  <c r="J53" i="5"/>
  <c r="D53" i="5" s="1"/>
  <c r="K53" i="5"/>
  <c r="E53" i="5" s="1"/>
  <c r="H54" i="5"/>
  <c r="B54" i="5" s="1"/>
  <c r="I54" i="5"/>
  <c r="C54" i="5" s="1"/>
  <c r="J54" i="5"/>
  <c r="K54" i="5"/>
  <c r="C34" i="5"/>
  <c r="F34" i="5"/>
  <c r="F35" i="5"/>
  <c r="C36" i="5"/>
  <c r="E36" i="5"/>
  <c r="F36" i="5"/>
  <c r="E37" i="5"/>
  <c r="F37" i="5"/>
  <c r="C38" i="5"/>
  <c r="F38" i="5"/>
  <c r="F39" i="5"/>
  <c r="E40" i="5"/>
  <c r="F40" i="5"/>
  <c r="F41" i="5"/>
  <c r="C42" i="5"/>
  <c r="F42" i="5"/>
  <c r="AG34" i="5"/>
  <c r="AH34" i="5"/>
  <c r="AI34" i="5"/>
  <c r="AJ34" i="5"/>
  <c r="AG35" i="5"/>
  <c r="AH35" i="5"/>
  <c r="AI35" i="5"/>
  <c r="AJ35" i="5"/>
  <c r="AG36" i="5"/>
  <c r="AH36" i="5"/>
  <c r="AI36" i="5"/>
  <c r="AJ36" i="5"/>
  <c r="AG37" i="5"/>
  <c r="AH37" i="5"/>
  <c r="AI37" i="5"/>
  <c r="AJ37" i="5"/>
  <c r="AG38" i="5"/>
  <c r="AH38" i="5"/>
  <c r="AI38" i="5"/>
  <c r="AJ38" i="5"/>
  <c r="AG39" i="5"/>
  <c r="AH39" i="5"/>
  <c r="AI39" i="5"/>
  <c r="AJ39" i="5"/>
  <c r="AG40" i="5"/>
  <c r="AH40" i="5"/>
  <c r="AI40" i="5"/>
  <c r="AJ40" i="5"/>
  <c r="AG41" i="5"/>
  <c r="AH41" i="5"/>
  <c r="AI41" i="5"/>
  <c r="AJ41" i="5"/>
  <c r="AG42" i="5"/>
  <c r="AH42" i="5"/>
  <c r="AI42" i="5"/>
  <c r="AJ42" i="5"/>
  <c r="AB34" i="5"/>
  <c r="AC34" i="5"/>
  <c r="AD34" i="5"/>
  <c r="AE34" i="5"/>
  <c r="AB35" i="5"/>
  <c r="AC35" i="5"/>
  <c r="AD35" i="5"/>
  <c r="AE35" i="5"/>
  <c r="AB36" i="5"/>
  <c r="AC36" i="5"/>
  <c r="AD36" i="5"/>
  <c r="AE36" i="5"/>
  <c r="AB37" i="5"/>
  <c r="AC37" i="5"/>
  <c r="AD37" i="5"/>
  <c r="AE37" i="5"/>
  <c r="AB38" i="5"/>
  <c r="AC38" i="5"/>
  <c r="AD38" i="5"/>
  <c r="AE38" i="5"/>
  <c r="AB39" i="5"/>
  <c r="AC39" i="5"/>
  <c r="AD39" i="5"/>
  <c r="AE39" i="5"/>
  <c r="AB40" i="5"/>
  <c r="AC40" i="5"/>
  <c r="AD40" i="5"/>
  <c r="AE40" i="5"/>
  <c r="AB41" i="5"/>
  <c r="AC41" i="5"/>
  <c r="AD41" i="5"/>
  <c r="AE41" i="5"/>
  <c r="AB42" i="5"/>
  <c r="AC42" i="5"/>
  <c r="AD42" i="5"/>
  <c r="AE42" i="5"/>
  <c r="W34" i="5"/>
  <c r="X34" i="5"/>
  <c r="Y34" i="5"/>
  <c r="Z34" i="5"/>
  <c r="W35" i="5"/>
  <c r="X35" i="5"/>
  <c r="Y35" i="5"/>
  <c r="Z35" i="5"/>
  <c r="W36" i="5"/>
  <c r="X36" i="5"/>
  <c r="Y36" i="5"/>
  <c r="Z36" i="5"/>
  <c r="W37" i="5"/>
  <c r="X37" i="5"/>
  <c r="Y37" i="5"/>
  <c r="Z37" i="5"/>
  <c r="W38" i="5"/>
  <c r="X38" i="5"/>
  <c r="Y38" i="5"/>
  <c r="Z38" i="5"/>
  <c r="W39" i="5"/>
  <c r="X39" i="5"/>
  <c r="Y39" i="5"/>
  <c r="Z39" i="5"/>
  <c r="W40" i="5"/>
  <c r="X40" i="5"/>
  <c r="Y40" i="5"/>
  <c r="Z40" i="5"/>
  <c r="W41" i="5"/>
  <c r="X41" i="5"/>
  <c r="Y41" i="5"/>
  <c r="Z41" i="5"/>
  <c r="W42" i="5"/>
  <c r="X42" i="5"/>
  <c r="Y42" i="5"/>
  <c r="Z42" i="5"/>
  <c r="R34" i="5"/>
  <c r="S34" i="5"/>
  <c r="T34" i="5"/>
  <c r="U34" i="5"/>
  <c r="R35" i="5"/>
  <c r="S35" i="5"/>
  <c r="T35" i="5"/>
  <c r="U35" i="5"/>
  <c r="R36" i="5"/>
  <c r="S36" i="5"/>
  <c r="T36" i="5"/>
  <c r="U36" i="5"/>
  <c r="R37" i="5"/>
  <c r="S37" i="5"/>
  <c r="T37" i="5"/>
  <c r="U37" i="5"/>
  <c r="R38" i="5"/>
  <c r="S38" i="5"/>
  <c r="T38" i="5"/>
  <c r="U38" i="5"/>
  <c r="R39" i="5"/>
  <c r="S39" i="5"/>
  <c r="T39" i="5"/>
  <c r="U39" i="5"/>
  <c r="R40" i="5"/>
  <c r="S40" i="5"/>
  <c r="T40" i="5"/>
  <c r="U40" i="5"/>
  <c r="R41" i="5"/>
  <c r="S41" i="5"/>
  <c r="T41" i="5"/>
  <c r="U41" i="5"/>
  <c r="R42" i="5"/>
  <c r="S42" i="5"/>
  <c r="T42" i="5"/>
  <c r="U42" i="5"/>
  <c r="M34" i="5"/>
  <c r="N34" i="5"/>
  <c r="O34" i="5"/>
  <c r="D34" i="5" s="1"/>
  <c r="P34" i="5"/>
  <c r="M35" i="5"/>
  <c r="N35" i="5"/>
  <c r="O35" i="5"/>
  <c r="P35" i="5"/>
  <c r="M36" i="5"/>
  <c r="N36" i="5"/>
  <c r="O36" i="5"/>
  <c r="P36" i="5"/>
  <c r="M37" i="5"/>
  <c r="N37" i="5"/>
  <c r="O37" i="5"/>
  <c r="P37" i="5"/>
  <c r="M38" i="5"/>
  <c r="N38" i="5"/>
  <c r="O38" i="5"/>
  <c r="P38" i="5"/>
  <c r="M39" i="5"/>
  <c r="N39" i="5"/>
  <c r="O39" i="5"/>
  <c r="P39" i="5"/>
  <c r="M40" i="5"/>
  <c r="N40" i="5"/>
  <c r="O40" i="5"/>
  <c r="P40" i="5"/>
  <c r="M41" i="5"/>
  <c r="N41" i="5"/>
  <c r="O41" i="5"/>
  <c r="P41" i="5"/>
  <c r="M42" i="5"/>
  <c r="N42" i="5"/>
  <c r="O42" i="5"/>
  <c r="D42" i="5" s="1"/>
  <c r="P42" i="5"/>
  <c r="H34" i="5"/>
  <c r="B34" i="5" s="1"/>
  <c r="I34" i="5"/>
  <c r="J34" i="5"/>
  <c r="K34" i="5"/>
  <c r="H35" i="5"/>
  <c r="B35" i="5" s="1"/>
  <c r="I35" i="5"/>
  <c r="C35" i="5" s="1"/>
  <c r="J35" i="5"/>
  <c r="D35" i="5" s="1"/>
  <c r="K35" i="5"/>
  <c r="E35" i="5" s="1"/>
  <c r="H36" i="5"/>
  <c r="B36" i="5" s="1"/>
  <c r="I36" i="5"/>
  <c r="J36" i="5"/>
  <c r="D36" i="5" s="1"/>
  <c r="K36" i="5"/>
  <c r="H37" i="5"/>
  <c r="B37" i="5" s="1"/>
  <c r="I37" i="5"/>
  <c r="C37" i="5" s="1"/>
  <c r="J37" i="5"/>
  <c r="K37" i="5"/>
  <c r="H38" i="5"/>
  <c r="B38" i="5" s="1"/>
  <c r="I38" i="5"/>
  <c r="J38" i="5"/>
  <c r="D38" i="5" s="1"/>
  <c r="K38" i="5"/>
  <c r="H39" i="5"/>
  <c r="B39" i="5" s="1"/>
  <c r="I39" i="5"/>
  <c r="C39" i="5" s="1"/>
  <c r="J39" i="5"/>
  <c r="D39" i="5" s="1"/>
  <c r="K39" i="5"/>
  <c r="E39" i="5" s="1"/>
  <c r="H40" i="5"/>
  <c r="B40" i="5" s="1"/>
  <c r="I40" i="5"/>
  <c r="C40" i="5" s="1"/>
  <c r="J40" i="5"/>
  <c r="D40" i="5" s="1"/>
  <c r="K40" i="5"/>
  <c r="H41" i="5"/>
  <c r="B41" i="5" s="1"/>
  <c r="I41" i="5"/>
  <c r="C41" i="5" s="1"/>
  <c r="J41" i="5"/>
  <c r="D41" i="5" s="1"/>
  <c r="K41" i="5"/>
  <c r="E41" i="5" s="1"/>
  <c r="H42" i="5"/>
  <c r="B42" i="5" s="1"/>
  <c r="I42" i="5"/>
  <c r="J42" i="5"/>
  <c r="K42" i="5"/>
  <c r="B22" i="5"/>
  <c r="F22" i="5"/>
  <c r="F23" i="5"/>
  <c r="B24" i="5"/>
  <c r="F24" i="5"/>
  <c r="C25" i="5"/>
  <c r="D25" i="5"/>
  <c r="F25" i="5"/>
  <c r="B26" i="5"/>
  <c r="F26" i="5"/>
  <c r="F27" i="5"/>
  <c r="F28" i="5"/>
  <c r="F29" i="5"/>
  <c r="B30" i="5"/>
  <c r="F30" i="5"/>
  <c r="AG22" i="5"/>
  <c r="AH22" i="5"/>
  <c r="AI22" i="5"/>
  <c r="AJ22" i="5"/>
  <c r="AG23" i="5"/>
  <c r="AH23" i="5"/>
  <c r="AI23" i="5"/>
  <c r="AJ23" i="5"/>
  <c r="AG24" i="5"/>
  <c r="AH24" i="5"/>
  <c r="AI24" i="5"/>
  <c r="AJ24" i="5"/>
  <c r="AG25" i="5"/>
  <c r="AH25" i="5"/>
  <c r="AI25" i="5"/>
  <c r="AJ25" i="5"/>
  <c r="AG26" i="5"/>
  <c r="AH26" i="5"/>
  <c r="AI26" i="5"/>
  <c r="AJ26" i="5"/>
  <c r="AG27" i="5"/>
  <c r="AH27" i="5"/>
  <c r="AI27" i="5"/>
  <c r="AJ27" i="5"/>
  <c r="AG28" i="5"/>
  <c r="AH28" i="5"/>
  <c r="AI28" i="5"/>
  <c r="AJ28" i="5"/>
  <c r="AG29" i="5"/>
  <c r="AH29" i="5"/>
  <c r="AI29" i="5"/>
  <c r="AJ29" i="5"/>
  <c r="AG30" i="5"/>
  <c r="AH30" i="5"/>
  <c r="AI30" i="5"/>
  <c r="AJ30" i="5"/>
  <c r="AB22" i="5"/>
  <c r="AC22" i="5"/>
  <c r="AD22" i="5"/>
  <c r="AE22" i="5"/>
  <c r="AB23" i="5"/>
  <c r="AC23" i="5"/>
  <c r="AD23" i="5"/>
  <c r="AE23" i="5"/>
  <c r="AB24" i="5"/>
  <c r="AC24" i="5"/>
  <c r="AD24" i="5"/>
  <c r="AE24" i="5"/>
  <c r="AB25" i="5"/>
  <c r="AC25" i="5"/>
  <c r="AD25" i="5"/>
  <c r="AE25" i="5"/>
  <c r="AB26" i="5"/>
  <c r="AC26" i="5"/>
  <c r="AD26" i="5"/>
  <c r="AE26" i="5"/>
  <c r="AB27" i="5"/>
  <c r="AC27" i="5"/>
  <c r="AD27" i="5"/>
  <c r="AE27" i="5"/>
  <c r="AB28" i="5"/>
  <c r="AC28" i="5"/>
  <c r="AD28" i="5"/>
  <c r="AE28" i="5"/>
  <c r="AB29" i="5"/>
  <c r="AC29" i="5"/>
  <c r="AD29" i="5"/>
  <c r="AE29" i="5"/>
  <c r="AB30" i="5"/>
  <c r="AC30" i="5"/>
  <c r="AD30" i="5"/>
  <c r="AE30" i="5"/>
  <c r="W22" i="5"/>
  <c r="X22" i="5"/>
  <c r="Y22" i="5"/>
  <c r="Z22" i="5"/>
  <c r="W23" i="5"/>
  <c r="X23" i="5"/>
  <c r="Y23" i="5"/>
  <c r="Z23" i="5"/>
  <c r="W24" i="5"/>
  <c r="X24" i="5"/>
  <c r="Y24" i="5"/>
  <c r="Z24" i="5"/>
  <c r="W25" i="5"/>
  <c r="X25" i="5"/>
  <c r="Y25" i="5"/>
  <c r="Z25" i="5"/>
  <c r="W26" i="5"/>
  <c r="X26" i="5"/>
  <c r="Y26" i="5"/>
  <c r="Z26" i="5"/>
  <c r="W27" i="5"/>
  <c r="X27" i="5"/>
  <c r="Y27" i="5"/>
  <c r="Z27" i="5"/>
  <c r="W28" i="5"/>
  <c r="X28" i="5"/>
  <c r="Y28" i="5"/>
  <c r="Z28" i="5"/>
  <c r="W29" i="5"/>
  <c r="X29" i="5"/>
  <c r="Y29" i="5"/>
  <c r="Z29" i="5"/>
  <c r="W30" i="5"/>
  <c r="X30" i="5"/>
  <c r="Y30" i="5"/>
  <c r="Z30" i="5"/>
  <c r="R22" i="5"/>
  <c r="S22" i="5"/>
  <c r="T22" i="5"/>
  <c r="U22" i="5"/>
  <c r="R23" i="5"/>
  <c r="S23" i="5"/>
  <c r="T23" i="5"/>
  <c r="U23" i="5"/>
  <c r="R24" i="5"/>
  <c r="S24" i="5"/>
  <c r="T24" i="5"/>
  <c r="U24" i="5"/>
  <c r="R25" i="5"/>
  <c r="S25" i="5"/>
  <c r="T25" i="5"/>
  <c r="U25" i="5"/>
  <c r="R26" i="5"/>
  <c r="S26" i="5"/>
  <c r="T26" i="5"/>
  <c r="U26" i="5"/>
  <c r="R27" i="5"/>
  <c r="S27" i="5"/>
  <c r="T27" i="5"/>
  <c r="U27" i="5"/>
  <c r="R28" i="5"/>
  <c r="S28" i="5"/>
  <c r="T28" i="5"/>
  <c r="U28" i="5"/>
  <c r="R29" i="5"/>
  <c r="S29" i="5"/>
  <c r="T29" i="5"/>
  <c r="U29" i="5"/>
  <c r="R30" i="5"/>
  <c r="S30" i="5"/>
  <c r="T30" i="5"/>
  <c r="U30" i="5"/>
  <c r="M22" i="5"/>
  <c r="N22" i="5"/>
  <c r="C22" i="5" s="1"/>
  <c r="O22" i="5"/>
  <c r="P22" i="5"/>
  <c r="M23" i="5"/>
  <c r="N23" i="5"/>
  <c r="O23" i="5"/>
  <c r="P23" i="5"/>
  <c r="E23" i="5" s="1"/>
  <c r="M24" i="5"/>
  <c r="N24" i="5"/>
  <c r="O24" i="5"/>
  <c r="P24" i="5"/>
  <c r="M25" i="5"/>
  <c r="N25" i="5"/>
  <c r="O25" i="5"/>
  <c r="P25" i="5"/>
  <c r="E25" i="5" s="1"/>
  <c r="M26" i="5"/>
  <c r="N26" i="5"/>
  <c r="O26" i="5"/>
  <c r="P26" i="5"/>
  <c r="M27" i="5"/>
  <c r="N27" i="5"/>
  <c r="O27" i="5"/>
  <c r="P27" i="5"/>
  <c r="M28" i="5"/>
  <c r="N28" i="5"/>
  <c r="O28" i="5"/>
  <c r="P28" i="5"/>
  <c r="M29" i="5"/>
  <c r="N29" i="5"/>
  <c r="O29" i="5"/>
  <c r="P29" i="5"/>
  <c r="M30" i="5"/>
  <c r="N30" i="5"/>
  <c r="C30" i="5" s="1"/>
  <c r="O30" i="5"/>
  <c r="P30" i="5"/>
  <c r="H22" i="5"/>
  <c r="I22" i="5"/>
  <c r="J22" i="5"/>
  <c r="K22" i="5"/>
  <c r="E22" i="5" s="1"/>
  <c r="H23" i="5"/>
  <c r="B23" i="5" s="1"/>
  <c r="I23" i="5"/>
  <c r="C23" i="5" s="1"/>
  <c r="J23" i="5"/>
  <c r="D23" i="5" s="1"/>
  <c r="K23" i="5"/>
  <c r="H24" i="5"/>
  <c r="I24" i="5"/>
  <c r="C24" i="5" s="1"/>
  <c r="J24" i="5"/>
  <c r="K24" i="5"/>
  <c r="E24" i="5" s="1"/>
  <c r="H25" i="5"/>
  <c r="B25" i="5" s="1"/>
  <c r="I25" i="5"/>
  <c r="J25" i="5"/>
  <c r="K25" i="5"/>
  <c r="H26" i="5"/>
  <c r="I26" i="5"/>
  <c r="C26" i="5" s="1"/>
  <c r="J26" i="5"/>
  <c r="K26" i="5"/>
  <c r="E26" i="5" s="1"/>
  <c r="H27" i="5"/>
  <c r="B27" i="5" s="1"/>
  <c r="I27" i="5"/>
  <c r="C27" i="5" s="1"/>
  <c r="J27" i="5"/>
  <c r="D27" i="5" s="1"/>
  <c r="K27" i="5"/>
  <c r="E27" i="5" s="1"/>
  <c r="H28" i="5"/>
  <c r="B28" i="5" s="1"/>
  <c r="I28" i="5"/>
  <c r="C28" i="5" s="1"/>
  <c r="J28" i="5"/>
  <c r="K28" i="5"/>
  <c r="E28" i="5" s="1"/>
  <c r="H29" i="5"/>
  <c r="B29" i="5" s="1"/>
  <c r="I29" i="5"/>
  <c r="C29" i="5" s="1"/>
  <c r="J29" i="5"/>
  <c r="D29" i="5" s="1"/>
  <c r="K29" i="5"/>
  <c r="E29" i="5" s="1"/>
  <c r="H30" i="5"/>
  <c r="I30" i="5"/>
  <c r="J30" i="5"/>
  <c r="K30" i="5"/>
  <c r="E30" i="5" s="1"/>
  <c r="AR147" i="5"/>
  <c r="AR135" i="5"/>
  <c r="P13" i="5" s="1"/>
  <c r="AR123" i="5"/>
  <c r="AR111" i="5"/>
  <c r="AR99" i="5"/>
  <c r="AR87" i="5"/>
  <c r="AR75" i="5"/>
  <c r="P8" i="5" s="1"/>
  <c r="AR63" i="5"/>
  <c r="AR51" i="5"/>
  <c r="AR39" i="5"/>
  <c r="AR27" i="5"/>
  <c r="P4" i="5" s="1"/>
  <c r="P5" i="5"/>
  <c r="P6" i="5"/>
  <c r="P7" i="5"/>
  <c r="P9" i="5"/>
  <c r="P10" i="5"/>
  <c r="P11" i="5"/>
  <c r="P12" i="5"/>
  <c r="P14" i="5"/>
  <c r="B3" i="5"/>
  <c r="C3" i="5"/>
  <c r="D3" i="5"/>
  <c r="E3" i="5"/>
  <c r="F3" i="5"/>
  <c r="B4" i="5"/>
  <c r="C4" i="5"/>
  <c r="D4" i="5"/>
  <c r="E4" i="5"/>
  <c r="F4" i="5"/>
  <c r="B5" i="5"/>
  <c r="C5" i="5"/>
  <c r="D5" i="5"/>
  <c r="E5" i="5"/>
  <c r="F5" i="5"/>
  <c r="B6" i="5"/>
  <c r="C6" i="5"/>
  <c r="D6" i="5"/>
  <c r="E6" i="5"/>
  <c r="F6" i="5"/>
  <c r="B7" i="5"/>
  <c r="C7" i="5"/>
  <c r="D7" i="5"/>
  <c r="E7" i="5"/>
  <c r="F7" i="5"/>
  <c r="B8" i="5"/>
  <c r="C8" i="5"/>
  <c r="D8" i="5"/>
  <c r="E8" i="5"/>
  <c r="F8" i="5"/>
  <c r="B9" i="5"/>
  <c r="C9" i="5"/>
  <c r="D9" i="5"/>
  <c r="E9" i="5"/>
  <c r="F9" i="5"/>
  <c r="B10" i="5"/>
  <c r="C10" i="5"/>
  <c r="D10" i="5"/>
  <c r="E10" i="5"/>
  <c r="F10" i="5"/>
  <c r="B11" i="5"/>
  <c r="C11" i="5"/>
  <c r="D11" i="5"/>
  <c r="E11" i="5"/>
  <c r="F11" i="5"/>
  <c r="E82" i="4"/>
  <c r="Z82" i="4" s="1"/>
  <c r="D82" i="4"/>
  <c r="Y82" i="4" s="1"/>
  <c r="C82" i="4"/>
  <c r="X82" i="4" s="1"/>
  <c r="B82" i="4"/>
  <c r="W82" i="4" s="1"/>
  <c r="T81" i="4"/>
  <c r="S81" i="4"/>
  <c r="R81" i="4"/>
  <c r="J81" i="4"/>
  <c r="I81" i="4"/>
  <c r="H81" i="4"/>
  <c r="E81" i="4"/>
  <c r="U81" i="4" s="1"/>
  <c r="D81" i="4"/>
  <c r="Y81" i="4" s="1"/>
  <c r="C81" i="4"/>
  <c r="X81" i="4" s="1"/>
  <c r="B81" i="4"/>
  <c r="W81" i="4" s="1"/>
  <c r="Y80" i="4"/>
  <c r="X80" i="4"/>
  <c r="U80" i="4"/>
  <c r="T80" i="4"/>
  <c r="S80" i="4"/>
  <c r="N80" i="4"/>
  <c r="K80" i="4"/>
  <c r="E80" i="4"/>
  <c r="Z80" i="4" s="1"/>
  <c r="D80" i="4"/>
  <c r="J80" i="4" s="1"/>
  <c r="C80" i="4"/>
  <c r="I80" i="4" s="1"/>
  <c r="B80" i="4"/>
  <c r="M80" i="4" s="1"/>
  <c r="Y79" i="4"/>
  <c r="S79" i="4"/>
  <c r="R79" i="4"/>
  <c r="O79" i="4"/>
  <c r="N79" i="4"/>
  <c r="J79" i="4"/>
  <c r="H79" i="4"/>
  <c r="E79" i="4"/>
  <c r="P79" i="4" s="1"/>
  <c r="D79" i="4"/>
  <c r="T79" i="4" s="1"/>
  <c r="C79" i="4"/>
  <c r="X79" i="4" s="1"/>
  <c r="B79" i="4"/>
  <c r="W79" i="4" s="1"/>
  <c r="X78" i="4"/>
  <c r="U78" i="4"/>
  <c r="S78" i="4"/>
  <c r="N78" i="4"/>
  <c r="K78" i="4"/>
  <c r="E78" i="4"/>
  <c r="Z78" i="4" s="1"/>
  <c r="D78" i="4"/>
  <c r="J78" i="4" s="1"/>
  <c r="C78" i="4"/>
  <c r="I78" i="4" s="1"/>
  <c r="B78" i="4"/>
  <c r="M78" i="4" s="1"/>
  <c r="Y77" i="4"/>
  <c r="S77" i="4"/>
  <c r="R77" i="4"/>
  <c r="N77" i="4"/>
  <c r="J77" i="4"/>
  <c r="H77" i="4"/>
  <c r="E77" i="4"/>
  <c r="P77" i="4" s="1"/>
  <c r="D77" i="4"/>
  <c r="T77" i="4" s="1"/>
  <c r="C77" i="4"/>
  <c r="X77" i="4" s="1"/>
  <c r="B77" i="4"/>
  <c r="W77" i="4" s="1"/>
  <c r="X76" i="4"/>
  <c r="U76" i="4"/>
  <c r="S76" i="4"/>
  <c r="N76" i="4"/>
  <c r="K76" i="4"/>
  <c r="E76" i="4"/>
  <c r="Z76" i="4" s="1"/>
  <c r="D76" i="4"/>
  <c r="J76" i="4" s="1"/>
  <c r="C76" i="4"/>
  <c r="I76" i="4" s="1"/>
  <c r="B76" i="4"/>
  <c r="M76" i="4" s="1"/>
  <c r="Y75" i="4"/>
  <c r="S75" i="4"/>
  <c r="R75" i="4"/>
  <c r="N75" i="4"/>
  <c r="J75" i="4"/>
  <c r="H75" i="4"/>
  <c r="E75" i="4"/>
  <c r="P75" i="4" s="1"/>
  <c r="D75" i="4"/>
  <c r="T75" i="4" s="1"/>
  <c r="C75" i="4"/>
  <c r="X75" i="4" s="1"/>
  <c r="B75" i="4"/>
  <c r="W75" i="4" s="1"/>
  <c r="X74" i="4"/>
  <c r="U74" i="4"/>
  <c r="S74" i="4"/>
  <c r="N74" i="4"/>
  <c r="K74" i="4"/>
  <c r="E74" i="4"/>
  <c r="Z74" i="4" s="1"/>
  <c r="D74" i="4"/>
  <c r="J74" i="4" s="1"/>
  <c r="C74" i="4"/>
  <c r="I74" i="4" s="1"/>
  <c r="B74" i="4"/>
  <c r="M74" i="4" s="1"/>
  <c r="Y70" i="4"/>
  <c r="S70" i="4"/>
  <c r="R70" i="4"/>
  <c r="N70" i="4"/>
  <c r="J70" i="4"/>
  <c r="H70" i="4"/>
  <c r="E70" i="4"/>
  <c r="P70" i="4" s="1"/>
  <c r="D70" i="4"/>
  <c r="T70" i="4" s="1"/>
  <c r="C70" i="4"/>
  <c r="X70" i="4" s="1"/>
  <c r="B70" i="4"/>
  <c r="W70" i="4" s="1"/>
  <c r="X69" i="4"/>
  <c r="U69" i="4"/>
  <c r="S69" i="4"/>
  <c r="N69" i="4"/>
  <c r="K69" i="4"/>
  <c r="E69" i="4"/>
  <c r="Z69" i="4" s="1"/>
  <c r="D69" i="4"/>
  <c r="J69" i="4" s="1"/>
  <c r="C69" i="4"/>
  <c r="I69" i="4" s="1"/>
  <c r="B69" i="4"/>
  <c r="M69" i="4" s="1"/>
  <c r="Y68" i="4"/>
  <c r="S68" i="4"/>
  <c r="R68" i="4"/>
  <c r="N68" i="4"/>
  <c r="J68" i="4"/>
  <c r="H68" i="4"/>
  <c r="E68" i="4"/>
  <c r="P68" i="4" s="1"/>
  <c r="D68" i="4"/>
  <c r="T68" i="4" s="1"/>
  <c r="C68" i="4"/>
  <c r="X68" i="4" s="1"/>
  <c r="B68" i="4"/>
  <c r="W68" i="4" s="1"/>
  <c r="X67" i="4"/>
  <c r="U67" i="4"/>
  <c r="S67" i="4"/>
  <c r="N67" i="4"/>
  <c r="K67" i="4"/>
  <c r="E67" i="4"/>
  <c r="Z67" i="4" s="1"/>
  <c r="D67" i="4"/>
  <c r="J67" i="4" s="1"/>
  <c r="C67" i="4"/>
  <c r="I67" i="4" s="1"/>
  <c r="B67" i="4"/>
  <c r="M67" i="4" s="1"/>
  <c r="Y66" i="4"/>
  <c r="S66" i="4"/>
  <c r="R66" i="4"/>
  <c r="N66" i="4"/>
  <c r="J66" i="4"/>
  <c r="H66" i="4"/>
  <c r="E66" i="4"/>
  <c r="P66" i="4" s="1"/>
  <c r="D66" i="4"/>
  <c r="T66" i="4" s="1"/>
  <c r="C66" i="4"/>
  <c r="X66" i="4" s="1"/>
  <c r="B66" i="4"/>
  <c r="W66" i="4" s="1"/>
  <c r="X65" i="4"/>
  <c r="U65" i="4"/>
  <c r="S65" i="4"/>
  <c r="N65" i="4"/>
  <c r="K65" i="4"/>
  <c r="E65" i="4"/>
  <c r="Z65" i="4" s="1"/>
  <c r="D65" i="4"/>
  <c r="J65" i="4" s="1"/>
  <c r="C65" i="4"/>
  <c r="I65" i="4" s="1"/>
  <c r="B65" i="4"/>
  <c r="M65" i="4" s="1"/>
  <c r="Y64" i="4"/>
  <c r="S64" i="4"/>
  <c r="R64" i="4"/>
  <c r="N64" i="4"/>
  <c r="J64" i="4"/>
  <c r="H64" i="4"/>
  <c r="E64" i="4"/>
  <c r="P64" i="4" s="1"/>
  <c r="D64" i="4"/>
  <c r="T64" i="4" s="1"/>
  <c r="C64" i="4"/>
  <c r="X64" i="4" s="1"/>
  <c r="B64" i="4"/>
  <c r="W64" i="4" s="1"/>
  <c r="X63" i="4"/>
  <c r="U63" i="4"/>
  <c r="S63" i="4"/>
  <c r="N63" i="4"/>
  <c r="K63" i="4"/>
  <c r="E63" i="4"/>
  <c r="Z63" i="4" s="1"/>
  <c r="D63" i="4"/>
  <c r="J63" i="4" s="1"/>
  <c r="C63" i="4"/>
  <c r="I63" i="4" s="1"/>
  <c r="B63" i="4"/>
  <c r="M63" i="4" s="1"/>
  <c r="Y62" i="4"/>
  <c r="S62" i="4"/>
  <c r="R62" i="4"/>
  <c r="N62" i="4"/>
  <c r="J62" i="4"/>
  <c r="H62" i="4"/>
  <c r="E62" i="4"/>
  <c r="P62" i="4" s="1"/>
  <c r="D62" i="4"/>
  <c r="T62" i="4" s="1"/>
  <c r="C62" i="4"/>
  <c r="X62" i="4" s="1"/>
  <c r="B62" i="4"/>
  <c r="W62" i="4" s="1"/>
  <c r="X58" i="4"/>
  <c r="U58" i="4"/>
  <c r="S58" i="4"/>
  <c r="N58" i="4"/>
  <c r="K58" i="4"/>
  <c r="E58" i="4"/>
  <c r="Z58" i="4" s="1"/>
  <c r="D58" i="4"/>
  <c r="J58" i="4" s="1"/>
  <c r="C58" i="4"/>
  <c r="I58" i="4" s="1"/>
  <c r="B58" i="4"/>
  <c r="M58" i="4" s="1"/>
  <c r="Y57" i="4"/>
  <c r="S57" i="4"/>
  <c r="R57" i="4"/>
  <c r="N57" i="4"/>
  <c r="J57" i="4"/>
  <c r="H57" i="4"/>
  <c r="E57" i="4"/>
  <c r="P57" i="4" s="1"/>
  <c r="D57" i="4"/>
  <c r="T57" i="4" s="1"/>
  <c r="C57" i="4"/>
  <c r="X57" i="4" s="1"/>
  <c r="B57" i="4"/>
  <c r="W57" i="4" s="1"/>
  <c r="X56" i="4"/>
  <c r="U56" i="4"/>
  <c r="S56" i="4"/>
  <c r="N56" i="4"/>
  <c r="K56" i="4"/>
  <c r="E56" i="4"/>
  <c r="Z56" i="4" s="1"/>
  <c r="D56" i="4"/>
  <c r="J56" i="4" s="1"/>
  <c r="C56" i="4"/>
  <c r="I56" i="4" s="1"/>
  <c r="B56" i="4"/>
  <c r="M56" i="4" s="1"/>
  <c r="Y55" i="4"/>
  <c r="S55" i="4"/>
  <c r="R55" i="4"/>
  <c r="N55" i="4"/>
  <c r="J55" i="4"/>
  <c r="H55" i="4"/>
  <c r="E55" i="4"/>
  <c r="P55" i="4" s="1"/>
  <c r="D55" i="4"/>
  <c r="T55" i="4" s="1"/>
  <c r="C55" i="4"/>
  <c r="X55" i="4" s="1"/>
  <c r="B55" i="4"/>
  <c r="W55" i="4" s="1"/>
  <c r="X54" i="4"/>
  <c r="U54" i="4"/>
  <c r="S54" i="4"/>
  <c r="N54" i="4"/>
  <c r="K54" i="4"/>
  <c r="E54" i="4"/>
  <c r="Z54" i="4" s="1"/>
  <c r="D54" i="4"/>
  <c r="J54" i="4" s="1"/>
  <c r="C54" i="4"/>
  <c r="I54" i="4" s="1"/>
  <c r="B54" i="4"/>
  <c r="M54" i="4" s="1"/>
  <c r="Y53" i="4"/>
  <c r="S53" i="4"/>
  <c r="R53" i="4"/>
  <c r="N53" i="4"/>
  <c r="J53" i="4"/>
  <c r="H53" i="4"/>
  <c r="E53" i="4"/>
  <c r="P53" i="4" s="1"/>
  <c r="D53" i="4"/>
  <c r="T53" i="4" s="1"/>
  <c r="C53" i="4"/>
  <c r="X53" i="4" s="1"/>
  <c r="B53" i="4"/>
  <c r="W53" i="4" s="1"/>
  <c r="X52" i="4"/>
  <c r="U52" i="4"/>
  <c r="S52" i="4"/>
  <c r="N52" i="4"/>
  <c r="K52" i="4"/>
  <c r="E52" i="4"/>
  <c r="Z52" i="4" s="1"/>
  <c r="D52" i="4"/>
  <c r="J52" i="4" s="1"/>
  <c r="C52" i="4"/>
  <c r="I52" i="4" s="1"/>
  <c r="B52" i="4"/>
  <c r="M52" i="4" s="1"/>
  <c r="Y51" i="4"/>
  <c r="S51" i="4"/>
  <c r="R51" i="4"/>
  <c r="N51" i="4"/>
  <c r="J51" i="4"/>
  <c r="H51" i="4"/>
  <c r="E51" i="4"/>
  <c r="P51" i="4" s="1"/>
  <c r="D51" i="4"/>
  <c r="T51" i="4" s="1"/>
  <c r="C51" i="4"/>
  <c r="X51" i="4" s="1"/>
  <c r="B51" i="4"/>
  <c r="W51" i="4" s="1"/>
  <c r="X50" i="4"/>
  <c r="U50" i="4"/>
  <c r="S50" i="4"/>
  <c r="N50" i="4"/>
  <c r="K50" i="4"/>
  <c r="E50" i="4"/>
  <c r="Z50" i="4" s="1"/>
  <c r="D50" i="4"/>
  <c r="J50" i="4" s="1"/>
  <c r="C50" i="4"/>
  <c r="I50" i="4" s="1"/>
  <c r="B50" i="4"/>
  <c r="M50" i="4" s="1"/>
  <c r="AC46" i="4"/>
  <c r="Z46" i="4"/>
  <c r="T46" i="4"/>
  <c r="S46" i="4"/>
  <c r="R46" i="4"/>
  <c r="O46" i="4"/>
  <c r="K46" i="4"/>
  <c r="I46" i="4"/>
  <c r="H46" i="4"/>
  <c r="E46" i="4"/>
  <c r="U46" i="4" s="1"/>
  <c r="D46" i="4"/>
  <c r="Y46" i="4" s="1"/>
  <c r="C46" i="4"/>
  <c r="X46" i="4" s="1"/>
  <c r="B46" i="4"/>
  <c r="W46" i="4" s="1"/>
  <c r="Z45" i="4"/>
  <c r="O45" i="4"/>
  <c r="N45" i="4"/>
  <c r="J45" i="4"/>
  <c r="E45" i="4"/>
  <c r="K45" i="4" s="1"/>
  <c r="D45" i="4"/>
  <c r="Y45" i="4" s="1"/>
  <c r="C45" i="4"/>
  <c r="B45" i="4"/>
  <c r="Z44" i="4"/>
  <c r="T44" i="4"/>
  <c r="S44" i="4"/>
  <c r="R44" i="4"/>
  <c r="O44" i="4"/>
  <c r="K44" i="4"/>
  <c r="I44" i="4"/>
  <c r="H44" i="4"/>
  <c r="E44" i="4"/>
  <c r="U44" i="4" s="1"/>
  <c r="D44" i="4"/>
  <c r="Y44" i="4" s="1"/>
  <c r="C44" i="4"/>
  <c r="X44" i="4" s="1"/>
  <c r="B44" i="4"/>
  <c r="W44" i="4" s="1"/>
  <c r="Z43" i="4"/>
  <c r="O43" i="4"/>
  <c r="N43" i="4"/>
  <c r="J43" i="4"/>
  <c r="E43" i="4"/>
  <c r="K43" i="4" s="1"/>
  <c r="D43" i="4"/>
  <c r="Y43" i="4" s="1"/>
  <c r="C43" i="4"/>
  <c r="B43" i="4"/>
  <c r="Z42" i="4"/>
  <c r="T42" i="4"/>
  <c r="S42" i="4"/>
  <c r="R42" i="4"/>
  <c r="O42" i="4"/>
  <c r="K42" i="4"/>
  <c r="I42" i="4"/>
  <c r="H42" i="4"/>
  <c r="E42" i="4"/>
  <c r="U42" i="4" s="1"/>
  <c r="D42" i="4"/>
  <c r="Y42" i="4" s="1"/>
  <c r="C42" i="4"/>
  <c r="X42" i="4" s="1"/>
  <c r="B42" i="4"/>
  <c r="W42" i="4" s="1"/>
  <c r="Z41" i="4"/>
  <c r="O41" i="4"/>
  <c r="N41" i="4"/>
  <c r="J41" i="4"/>
  <c r="E41" i="4"/>
  <c r="K41" i="4" s="1"/>
  <c r="D41" i="4"/>
  <c r="Y41" i="4" s="1"/>
  <c r="C41" i="4"/>
  <c r="B41" i="4"/>
  <c r="AC40" i="4"/>
  <c r="U40" i="4"/>
  <c r="T40" i="4"/>
  <c r="S40" i="4"/>
  <c r="P40" i="4"/>
  <c r="J40" i="4"/>
  <c r="I40" i="4"/>
  <c r="E40" i="4"/>
  <c r="Z40" i="4" s="1"/>
  <c r="D40" i="4"/>
  <c r="Y40" i="4" s="1"/>
  <c r="C40" i="4"/>
  <c r="X40" i="4" s="1"/>
  <c r="B40" i="4"/>
  <c r="W40" i="4" s="1"/>
  <c r="P39" i="4"/>
  <c r="O39" i="4"/>
  <c r="K39" i="4"/>
  <c r="E39" i="4"/>
  <c r="Z39" i="4" s="1"/>
  <c r="D39" i="4"/>
  <c r="C39" i="4"/>
  <c r="B39" i="4"/>
  <c r="M39" i="4" s="1"/>
  <c r="U38" i="4"/>
  <c r="T38" i="4"/>
  <c r="S38" i="4"/>
  <c r="P38" i="4"/>
  <c r="J38" i="4"/>
  <c r="I38" i="4"/>
  <c r="E38" i="4"/>
  <c r="Z38" i="4" s="1"/>
  <c r="D38" i="4"/>
  <c r="Y38" i="4" s="1"/>
  <c r="C38" i="4"/>
  <c r="X38" i="4" s="1"/>
  <c r="B38" i="4"/>
  <c r="W38" i="4" s="1"/>
  <c r="AC34" i="4"/>
  <c r="X34" i="4"/>
  <c r="S34" i="4"/>
  <c r="R34" i="4"/>
  <c r="P34" i="4"/>
  <c r="N34" i="4"/>
  <c r="M34" i="4"/>
  <c r="I34" i="4"/>
  <c r="H34" i="4"/>
  <c r="E34" i="4"/>
  <c r="D34" i="4"/>
  <c r="O34" i="4" s="1"/>
  <c r="C34" i="4"/>
  <c r="B34" i="4"/>
  <c r="W34" i="4" s="1"/>
  <c r="Y33" i="4"/>
  <c r="W33" i="4"/>
  <c r="U33" i="4"/>
  <c r="T33" i="4"/>
  <c r="S33" i="4"/>
  <c r="K33" i="4"/>
  <c r="J33" i="4"/>
  <c r="I33" i="4"/>
  <c r="H33" i="4"/>
  <c r="E33" i="4"/>
  <c r="Z33" i="4" s="1"/>
  <c r="D33" i="4"/>
  <c r="O33" i="4" s="1"/>
  <c r="C33" i="4"/>
  <c r="N33" i="4" s="1"/>
  <c r="B33" i="4"/>
  <c r="R33" i="4" s="1"/>
  <c r="Y32" i="4"/>
  <c r="X32" i="4"/>
  <c r="S32" i="4"/>
  <c r="O32" i="4"/>
  <c r="N32" i="4"/>
  <c r="J32" i="4"/>
  <c r="E32" i="4"/>
  <c r="P32" i="4" s="1"/>
  <c r="D32" i="4"/>
  <c r="T32" i="4" s="1"/>
  <c r="C32" i="4"/>
  <c r="I32" i="4" s="1"/>
  <c r="B32" i="4"/>
  <c r="W32" i="4" s="1"/>
  <c r="X31" i="4"/>
  <c r="U31" i="4"/>
  <c r="K31" i="4"/>
  <c r="E31" i="4"/>
  <c r="Z31" i="4" s="1"/>
  <c r="D31" i="4"/>
  <c r="J31" i="4" s="1"/>
  <c r="C31" i="4"/>
  <c r="I31" i="4" s="1"/>
  <c r="B31" i="4"/>
  <c r="M31" i="4" s="1"/>
  <c r="X30" i="4"/>
  <c r="S30" i="4"/>
  <c r="R30" i="4"/>
  <c r="P30" i="4"/>
  <c r="N30" i="4"/>
  <c r="M30" i="4"/>
  <c r="I30" i="4"/>
  <c r="H30" i="4"/>
  <c r="E30" i="4"/>
  <c r="D30" i="4"/>
  <c r="O30" i="4" s="1"/>
  <c r="C30" i="4"/>
  <c r="B30" i="4"/>
  <c r="W30" i="4" s="1"/>
  <c r="Y29" i="4"/>
  <c r="W29" i="4"/>
  <c r="U29" i="4"/>
  <c r="T29" i="4"/>
  <c r="S29" i="4"/>
  <c r="K29" i="4"/>
  <c r="J29" i="4"/>
  <c r="I29" i="4"/>
  <c r="H29" i="4"/>
  <c r="E29" i="4"/>
  <c r="Z29" i="4" s="1"/>
  <c r="D29" i="4"/>
  <c r="O29" i="4" s="1"/>
  <c r="C29" i="4"/>
  <c r="N29" i="4" s="1"/>
  <c r="B29" i="4"/>
  <c r="R29" i="4" s="1"/>
  <c r="AC28" i="4"/>
  <c r="Z28" i="4"/>
  <c r="X28" i="4"/>
  <c r="E28" i="4"/>
  <c r="U28" i="4" s="1"/>
  <c r="D28" i="4"/>
  <c r="T28" i="4" s="1"/>
  <c r="C28" i="4"/>
  <c r="S28" i="4" s="1"/>
  <c r="B28" i="4"/>
  <c r="W28" i="4" s="1"/>
  <c r="U27" i="4"/>
  <c r="T27" i="4"/>
  <c r="S27" i="4"/>
  <c r="R27" i="4"/>
  <c r="K27" i="4"/>
  <c r="J27" i="4"/>
  <c r="I27" i="4"/>
  <c r="H27" i="4"/>
  <c r="E27" i="4"/>
  <c r="Z27" i="4" s="1"/>
  <c r="D27" i="4"/>
  <c r="Y27" i="4" s="1"/>
  <c r="C27" i="4"/>
  <c r="X27" i="4" s="1"/>
  <c r="B27" i="4"/>
  <c r="W27" i="4" s="1"/>
  <c r="E26" i="4"/>
  <c r="U26" i="4" s="1"/>
  <c r="D26" i="4"/>
  <c r="T26" i="4" s="1"/>
  <c r="C26" i="4"/>
  <c r="S26" i="4" s="1"/>
  <c r="B26" i="4"/>
  <c r="W26" i="4" s="1"/>
  <c r="AC22" i="4"/>
  <c r="U22" i="4"/>
  <c r="T22" i="4"/>
  <c r="S22" i="4"/>
  <c r="R22" i="4"/>
  <c r="K22" i="4"/>
  <c r="J22" i="4"/>
  <c r="I22" i="4"/>
  <c r="H22" i="4"/>
  <c r="E22" i="4"/>
  <c r="Z22" i="4" s="1"/>
  <c r="D22" i="4"/>
  <c r="Y22" i="4" s="1"/>
  <c r="C22" i="4"/>
  <c r="X22" i="4" s="1"/>
  <c r="B22" i="4"/>
  <c r="W22" i="4" s="1"/>
  <c r="E21" i="4"/>
  <c r="U21" i="4" s="1"/>
  <c r="D21" i="4"/>
  <c r="T21" i="4" s="1"/>
  <c r="C21" i="4"/>
  <c r="X21" i="4" s="1"/>
  <c r="B21" i="4"/>
  <c r="W21" i="4" s="1"/>
  <c r="U20" i="4"/>
  <c r="T20" i="4"/>
  <c r="S20" i="4"/>
  <c r="R20" i="4"/>
  <c r="K20" i="4"/>
  <c r="J20" i="4"/>
  <c r="I20" i="4"/>
  <c r="H20" i="4"/>
  <c r="E20" i="4"/>
  <c r="Z20" i="4" s="1"/>
  <c r="D20" i="4"/>
  <c r="Y20" i="4" s="1"/>
  <c r="C20" i="4"/>
  <c r="X20" i="4" s="1"/>
  <c r="B20" i="4"/>
  <c r="W20" i="4" s="1"/>
  <c r="E19" i="4"/>
  <c r="U19" i="4" s="1"/>
  <c r="D19" i="4"/>
  <c r="T19" i="4" s="1"/>
  <c r="C19" i="4"/>
  <c r="X19" i="4" s="1"/>
  <c r="B19" i="4"/>
  <c r="W19" i="4" s="1"/>
  <c r="U18" i="4"/>
  <c r="T18" i="4"/>
  <c r="S18" i="4"/>
  <c r="R18" i="4"/>
  <c r="K18" i="4"/>
  <c r="J18" i="4"/>
  <c r="I18" i="4"/>
  <c r="H18" i="4"/>
  <c r="E18" i="4"/>
  <c r="Z18" i="4" s="1"/>
  <c r="D18" i="4"/>
  <c r="Y18" i="4" s="1"/>
  <c r="C18" i="4"/>
  <c r="X18" i="4" s="1"/>
  <c r="B18" i="4"/>
  <c r="W18" i="4" s="1"/>
  <c r="E17" i="4"/>
  <c r="U17" i="4" s="1"/>
  <c r="D17" i="4"/>
  <c r="T17" i="4" s="1"/>
  <c r="C17" i="4"/>
  <c r="X17" i="4" s="1"/>
  <c r="B17" i="4"/>
  <c r="W17" i="4" s="1"/>
  <c r="AC16" i="4"/>
  <c r="U16" i="4"/>
  <c r="T16" i="4"/>
  <c r="S16" i="4"/>
  <c r="K16" i="4"/>
  <c r="J16" i="4"/>
  <c r="I16" i="4"/>
  <c r="E16" i="4"/>
  <c r="Z16" i="4" s="1"/>
  <c r="D16" i="4"/>
  <c r="Y16" i="4" s="1"/>
  <c r="C16" i="4"/>
  <c r="X16" i="4" s="1"/>
  <c r="B16" i="4"/>
  <c r="R16" i="4" s="1"/>
  <c r="R15" i="4"/>
  <c r="H15" i="4"/>
  <c r="E15" i="4"/>
  <c r="U15" i="4" s="1"/>
  <c r="D15" i="4"/>
  <c r="Y15" i="4" s="1"/>
  <c r="C15" i="4"/>
  <c r="X15" i="4" s="1"/>
  <c r="B15" i="4"/>
  <c r="W15" i="4" s="1"/>
  <c r="U14" i="4"/>
  <c r="T14" i="4"/>
  <c r="S14" i="4"/>
  <c r="K14" i="4"/>
  <c r="J14" i="4"/>
  <c r="I14" i="4"/>
  <c r="E14" i="4"/>
  <c r="Z14" i="4" s="1"/>
  <c r="D14" i="4"/>
  <c r="Y14" i="4" s="1"/>
  <c r="C14" i="4"/>
  <c r="X14" i="4" s="1"/>
  <c r="B14" i="4"/>
  <c r="R14" i="4" s="1"/>
  <c r="K10" i="4"/>
  <c r="J10" i="4"/>
  <c r="I10" i="4"/>
  <c r="H10" i="4"/>
  <c r="K9" i="4"/>
  <c r="J9" i="4"/>
  <c r="I9" i="4"/>
  <c r="H9" i="4"/>
  <c r="K8" i="4"/>
  <c r="J8" i="4"/>
  <c r="I8" i="4"/>
  <c r="H8" i="4"/>
  <c r="K7" i="4"/>
  <c r="J7" i="4"/>
  <c r="I7" i="4"/>
  <c r="H7" i="4"/>
  <c r="K6" i="4"/>
  <c r="J6" i="4"/>
  <c r="I6" i="4"/>
  <c r="H6" i="4"/>
  <c r="K5" i="4"/>
  <c r="J5" i="4"/>
  <c r="I5" i="4"/>
  <c r="H5" i="4"/>
  <c r="C138" i="5" l="1"/>
  <c r="C136" i="5"/>
  <c r="C132" i="5"/>
  <c r="C130" i="5"/>
  <c r="E130" i="5"/>
  <c r="D136" i="5"/>
  <c r="D134" i="5"/>
  <c r="D132" i="5"/>
  <c r="D148" i="5"/>
  <c r="D146" i="5"/>
  <c r="D144" i="5"/>
  <c r="D142" i="5"/>
  <c r="C150" i="5"/>
  <c r="C148" i="5"/>
  <c r="C146" i="5"/>
  <c r="C144" i="5"/>
  <c r="C142" i="5"/>
  <c r="B149" i="5"/>
  <c r="C134" i="5"/>
  <c r="B72" i="5"/>
  <c r="B70" i="5"/>
  <c r="D77" i="5"/>
  <c r="C77" i="5"/>
  <c r="D73" i="5"/>
  <c r="C75" i="5"/>
  <c r="B77" i="5"/>
  <c r="B75" i="5"/>
  <c r="D75" i="5"/>
  <c r="D78" i="5"/>
  <c r="D70" i="5"/>
  <c r="E148" i="5"/>
  <c r="E146" i="5"/>
  <c r="E144" i="5"/>
  <c r="E142" i="5"/>
  <c r="C149" i="5"/>
  <c r="C147" i="5"/>
  <c r="C145" i="5"/>
  <c r="C143" i="5"/>
  <c r="M14" i="5" s="1"/>
  <c r="B147" i="5"/>
  <c r="B145" i="5"/>
  <c r="B143" i="5"/>
  <c r="D137" i="5"/>
  <c r="D135" i="5"/>
  <c r="D133" i="5"/>
  <c r="D131" i="5"/>
  <c r="N13" i="5" s="1"/>
  <c r="C137" i="5"/>
  <c r="C135" i="5"/>
  <c r="C133" i="5"/>
  <c r="C131" i="5"/>
  <c r="B137" i="5"/>
  <c r="B135" i="5"/>
  <c r="B133" i="5"/>
  <c r="B131" i="5"/>
  <c r="E134" i="5"/>
  <c r="O13" i="5" s="1"/>
  <c r="B125" i="5"/>
  <c r="B123" i="5"/>
  <c r="B121" i="5"/>
  <c r="B119" i="5"/>
  <c r="E126" i="5"/>
  <c r="E124" i="5"/>
  <c r="E122" i="5"/>
  <c r="E120" i="5"/>
  <c r="O12" i="5" s="1"/>
  <c r="E118" i="5"/>
  <c r="D125" i="5"/>
  <c r="D123" i="5"/>
  <c r="D119" i="5"/>
  <c r="C125" i="5"/>
  <c r="C123" i="5"/>
  <c r="C121" i="5"/>
  <c r="C119" i="5"/>
  <c r="M12" i="5" s="1"/>
  <c r="B113" i="5"/>
  <c r="B111" i="5"/>
  <c r="B109" i="5"/>
  <c r="B107" i="5"/>
  <c r="E114" i="5"/>
  <c r="E108" i="5"/>
  <c r="E106" i="5"/>
  <c r="O11" i="5" s="1"/>
  <c r="D113" i="5"/>
  <c r="D111" i="5"/>
  <c r="C113" i="5"/>
  <c r="C111" i="5"/>
  <c r="C107" i="5"/>
  <c r="D109" i="5"/>
  <c r="D107" i="5"/>
  <c r="N11" i="5" s="1"/>
  <c r="B99" i="5"/>
  <c r="E102" i="5"/>
  <c r="E100" i="5"/>
  <c r="E98" i="5"/>
  <c r="E96" i="5"/>
  <c r="E94" i="5"/>
  <c r="O10" i="5" s="1"/>
  <c r="B101" i="5"/>
  <c r="D95" i="5"/>
  <c r="N10" i="5" s="1"/>
  <c r="D101" i="5"/>
  <c r="D99" i="5"/>
  <c r="D97" i="5"/>
  <c r="C101" i="5"/>
  <c r="C99" i="5"/>
  <c r="B95" i="5"/>
  <c r="L10" i="5" s="1"/>
  <c r="Q10" i="5" s="1"/>
  <c r="C97" i="5"/>
  <c r="C95" i="5"/>
  <c r="M10" i="5" s="1"/>
  <c r="B85" i="5"/>
  <c r="B83" i="5"/>
  <c r="E90" i="5"/>
  <c r="E82" i="5"/>
  <c r="O9" i="5" s="1"/>
  <c r="B89" i="5"/>
  <c r="L9" i="5" s="1"/>
  <c r="Q9" i="5" s="1"/>
  <c r="D85" i="5"/>
  <c r="D83" i="5"/>
  <c r="N9" i="5" s="1"/>
  <c r="D87" i="5"/>
  <c r="C89" i="5"/>
  <c r="C87" i="5"/>
  <c r="C85" i="5"/>
  <c r="B87" i="5"/>
  <c r="C83" i="5"/>
  <c r="C73" i="5"/>
  <c r="C71" i="5"/>
  <c r="B73" i="5"/>
  <c r="B71" i="5"/>
  <c r="C63" i="5"/>
  <c r="C61" i="5"/>
  <c r="C59" i="5"/>
  <c r="B61" i="5"/>
  <c r="B59" i="5"/>
  <c r="L7" i="5" s="1"/>
  <c r="Q7" i="5" s="1"/>
  <c r="D65" i="5"/>
  <c r="D63" i="5"/>
  <c r="D61" i="5"/>
  <c r="N7" i="5" s="1"/>
  <c r="D59" i="5"/>
  <c r="C53" i="5"/>
  <c r="C49" i="5"/>
  <c r="C47" i="5"/>
  <c r="M6" i="5" s="1"/>
  <c r="C51" i="5"/>
  <c r="B51" i="5"/>
  <c r="B49" i="5"/>
  <c r="B47" i="5"/>
  <c r="L6" i="5" s="1"/>
  <c r="Q6" i="5" s="1"/>
  <c r="E38" i="5"/>
  <c r="D26" i="5"/>
  <c r="M4" i="5"/>
  <c r="M7" i="5"/>
  <c r="M11" i="5"/>
  <c r="O14" i="5"/>
  <c r="L4" i="5"/>
  <c r="Q4" i="5" s="1"/>
  <c r="L11" i="5"/>
  <c r="Q11" i="5" s="1"/>
  <c r="N14" i="5"/>
  <c r="O5" i="5"/>
  <c r="N6" i="5"/>
  <c r="N8" i="5"/>
  <c r="L12" i="5"/>
  <c r="Q12" i="5" s="1"/>
  <c r="N5" i="5"/>
  <c r="M8" i="5"/>
  <c r="L13" i="5"/>
  <c r="Q13" i="5" s="1"/>
  <c r="O4" i="5"/>
  <c r="O7" i="5"/>
  <c r="M9" i="5"/>
  <c r="N12" i="5"/>
  <c r="L14" i="5"/>
  <c r="Q14" i="5" s="1"/>
  <c r="L5" i="5"/>
  <c r="Q5" i="5" s="1"/>
  <c r="O6" i="5"/>
  <c r="O8" i="5"/>
  <c r="N4" i="5"/>
  <c r="M5" i="5"/>
  <c r="L8" i="5"/>
  <c r="Q8" i="5" s="1"/>
  <c r="P15" i="4"/>
  <c r="Z15" i="4"/>
  <c r="O17" i="4"/>
  <c r="Y17" i="4"/>
  <c r="O19" i="4"/>
  <c r="Y19" i="4"/>
  <c r="O21" i="4"/>
  <c r="Y21" i="4"/>
  <c r="N26" i="4"/>
  <c r="X26" i="4"/>
  <c r="N28" i="4"/>
  <c r="Y28" i="4"/>
  <c r="U30" i="4"/>
  <c r="K30" i="4"/>
  <c r="N31" i="4"/>
  <c r="Y31" i="4"/>
  <c r="M32" i="4"/>
  <c r="U34" i="4"/>
  <c r="K34" i="4"/>
  <c r="M38" i="4"/>
  <c r="M40" i="4"/>
  <c r="M14" i="4"/>
  <c r="W14" i="4"/>
  <c r="M16" i="4"/>
  <c r="W16" i="4"/>
  <c r="P17" i="4"/>
  <c r="Z17" i="4"/>
  <c r="P19" i="4"/>
  <c r="Z19" i="4"/>
  <c r="P21" i="4"/>
  <c r="Z21" i="4"/>
  <c r="O26" i="4"/>
  <c r="Y26" i="4"/>
  <c r="O28" i="4"/>
  <c r="O31" i="4"/>
  <c r="S39" i="4"/>
  <c r="I39" i="4"/>
  <c r="R41" i="4"/>
  <c r="H41" i="4"/>
  <c r="R43" i="4"/>
  <c r="H43" i="4"/>
  <c r="R45" i="4"/>
  <c r="H45" i="4"/>
  <c r="Y50" i="4"/>
  <c r="Z51" i="4"/>
  <c r="Y52" i="4"/>
  <c r="Z53" i="4"/>
  <c r="Y54" i="4"/>
  <c r="Z55" i="4"/>
  <c r="Y56" i="4"/>
  <c r="Z57" i="4"/>
  <c r="Y58" i="4"/>
  <c r="Z62" i="4"/>
  <c r="Y63" i="4"/>
  <c r="Z64" i="4"/>
  <c r="Y65" i="4"/>
  <c r="Z66" i="4"/>
  <c r="Y67" i="4"/>
  <c r="Z68" i="4"/>
  <c r="Y69" i="4"/>
  <c r="Z70" i="4"/>
  <c r="Y74" i="4"/>
  <c r="Z75" i="4"/>
  <c r="Y76" i="4"/>
  <c r="Z77" i="4"/>
  <c r="Y78" i="4"/>
  <c r="Z79" i="4"/>
  <c r="N14" i="4"/>
  <c r="I15" i="4"/>
  <c r="S15" i="4"/>
  <c r="N16" i="4"/>
  <c r="H17" i="4"/>
  <c r="R17" i="4"/>
  <c r="M18" i="4"/>
  <c r="H19" i="4"/>
  <c r="R19" i="4"/>
  <c r="M20" i="4"/>
  <c r="H21" i="4"/>
  <c r="R21" i="4"/>
  <c r="M22" i="4"/>
  <c r="P26" i="4"/>
  <c r="Z26" i="4"/>
  <c r="P28" i="4"/>
  <c r="T30" i="4"/>
  <c r="R31" i="4"/>
  <c r="Z32" i="4"/>
  <c r="T34" i="4"/>
  <c r="R38" i="4"/>
  <c r="T39" i="4"/>
  <c r="J39" i="4"/>
  <c r="R39" i="4"/>
  <c r="R40" i="4"/>
  <c r="S41" i="4"/>
  <c r="I41" i="4"/>
  <c r="P41" i="4"/>
  <c r="P42" i="4"/>
  <c r="S43" i="4"/>
  <c r="I43" i="4"/>
  <c r="P43" i="4"/>
  <c r="P44" i="4"/>
  <c r="S45" i="4"/>
  <c r="I45" i="4"/>
  <c r="P45" i="4"/>
  <c r="P46" i="4"/>
  <c r="R50" i="4"/>
  <c r="H50" i="4"/>
  <c r="O51" i="4"/>
  <c r="R52" i="4"/>
  <c r="H52" i="4"/>
  <c r="O53" i="4"/>
  <c r="R54" i="4"/>
  <c r="H54" i="4"/>
  <c r="O55" i="4"/>
  <c r="R56" i="4"/>
  <c r="H56" i="4"/>
  <c r="O57" i="4"/>
  <c r="R58" i="4"/>
  <c r="H58" i="4"/>
  <c r="O62" i="4"/>
  <c r="R63" i="4"/>
  <c r="H63" i="4"/>
  <c r="O64" i="4"/>
  <c r="R65" i="4"/>
  <c r="H65" i="4"/>
  <c r="O66" i="4"/>
  <c r="R67" i="4"/>
  <c r="H67" i="4"/>
  <c r="O68" i="4"/>
  <c r="R69" i="4"/>
  <c r="H69" i="4"/>
  <c r="O70" i="4"/>
  <c r="R74" i="4"/>
  <c r="H74" i="4"/>
  <c r="O75" i="4"/>
  <c r="R76" i="4"/>
  <c r="H76" i="4"/>
  <c r="O77" i="4"/>
  <c r="R78" i="4"/>
  <c r="H78" i="4"/>
  <c r="R80" i="4"/>
  <c r="H80" i="4"/>
  <c r="O14" i="4"/>
  <c r="J15" i="4"/>
  <c r="T15" i="4"/>
  <c r="O16" i="4"/>
  <c r="I17" i="4"/>
  <c r="S17" i="4"/>
  <c r="N18" i="4"/>
  <c r="I19" i="4"/>
  <c r="S19" i="4"/>
  <c r="N20" i="4"/>
  <c r="I21" i="4"/>
  <c r="S21" i="4"/>
  <c r="N22" i="4"/>
  <c r="H26" i="4"/>
  <c r="R26" i="4"/>
  <c r="M27" i="4"/>
  <c r="H28" i="4"/>
  <c r="R28" i="4"/>
  <c r="M29" i="4"/>
  <c r="X29" i="4"/>
  <c r="J30" i="4"/>
  <c r="H31" i="4"/>
  <c r="S31" i="4"/>
  <c r="M33" i="4"/>
  <c r="X33" i="4"/>
  <c r="J34" i="4"/>
  <c r="U39" i="4"/>
  <c r="T41" i="4"/>
  <c r="T43" i="4"/>
  <c r="T45" i="4"/>
  <c r="O50" i="4"/>
  <c r="O52" i="4"/>
  <c r="O54" i="4"/>
  <c r="O56" i="4"/>
  <c r="O58" i="4"/>
  <c r="O63" i="4"/>
  <c r="O65" i="4"/>
  <c r="O67" i="4"/>
  <c r="O69" i="4"/>
  <c r="O74" i="4"/>
  <c r="O76" i="4"/>
  <c r="O78" i="4"/>
  <c r="O80" i="4"/>
  <c r="P14" i="4"/>
  <c r="K15" i="4"/>
  <c r="P16" i="4"/>
  <c r="J17" i="4"/>
  <c r="O18" i="4"/>
  <c r="J19" i="4"/>
  <c r="O20" i="4"/>
  <c r="J21" i="4"/>
  <c r="O22" i="4"/>
  <c r="I26" i="4"/>
  <c r="N27" i="4"/>
  <c r="I28" i="4"/>
  <c r="T31" i="4"/>
  <c r="U32" i="4"/>
  <c r="K32" i="4"/>
  <c r="R32" i="4"/>
  <c r="H38" i="4"/>
  <c r="H39" i="4"/>
  <c r="W39" i="4"/>
  <c r="H40" i="4"/>
  <c r="U41" i="4"/>
  <c r="U43" i="4"/>
  <c r="U45" i="4"/>
  <c r="H14" i="4"/>
  <c r="M15" i="4"/>
  <c r="H16" i="4"/>
  <c r="K17" i="4"/>
  <c r="P18" i="4"/>
  <c r="K19" i="4"/>
  <c r="P20" i="4"/>
  <c r="K21" i="4"/>
  <c r="P22" i="4"/>
  <c r="J26" i="4"/>
  <c r="O27" i="4"/>
  <c r="J28" i="4"/>
  <c r="Y30" i="4"/>
  <c r="H32" i="4"/>
  <c r="Y34" i="4"/>
  <c r="X39" i="4"/>
  <c r="W41" i="4"/>
  <c r="W43" i="4"/>
  <c r="W45" i="4"/>
  <c r="T50" i="4"/>
  <c r="U51" i="4"/>
  <c r="K51" i="4"/>
  <c r="T52" i="4"/>
  <c r="U53" i="4"/>
  <c r="K53" i="4"/>
  <c r="T54" i="4"/>
  <c r="U55" i="4"/>
  <c r="K55" i="4"/>
  <c r="T56" i="4"/>
  <c r="U57" i="4"/>
  <c r="K57" i="4"/>
  <c r="T58" i="4"/>
  <c r="U62" i="4"/>
  <c r="K62" i="4"/>
  <c r="T63" i="4"/>
  <c r="U64" i="4"/>
  <c r="K64" i="4"/>
  <c r="T65" i="4"/>
  <c r="U66" i="4"/>
  <c r="K66" i="4"/>
  <c r="T67" i="4"/>
  <c r="U68" i="4"/>
  <c r="K68" i="4"/>
  <c r="T69" i="4"/>
  <c r="U70" i="4"/>
  <c r="K70" i="4"/>
  <c r="T74" i="4"/>
  <c r="U75" i="4"/>
  <c r="K75" i="4"/>
  <c r="T76" i="4"/>
  <c r="U77" i="4"/>
  <c r="K77" i="4"/>
  <c r="T78" i="4"/>
  <c r="U79" i="4"/>
  <c r="K79" i="4"/>
  <c r="N15" i="4"/>
  <c r="M17" i="4"/>
  <c r="M19" i="4"/>
  <c r="M21" i="4"/>
  <c r="K26" i="4"/>
  <c r="P27" i="4"/>
  <c r="K28" i="4"/>
  <c r="Z30" i="4"/>
  <c r="W31" i="4"/>
  <c r="Z34" i="4"/>
  <c r="Y39" i="4"/>
  <c r="X41" i="4"/>
  <c r="X43" i="4"/>
  <c r="X45" i="4"/>
  <c r="O15" i="4"/>
  <c r="N17" i="4"/>
  <c r="N19" i="4"/>
  <c r="N21" i="4"/>
  <c r="M26" i="4"/>
  <c r="M28" i="4"/>
  <c r="K38" i="4"/>
  <c r="N39" i="4"/>
  <c r="K40" i="4"/>
  <c r="M41" i="4"/>
  <c r="J42" i="4"/>
  <c r="M43" i="4"/>
  <c r="J44" i="4"/>
  <c r="M45" i="4"/>
  <c r="J46" i="4"/>
  <c r="W50" i="4"/>
  <c r="I51" i="4"/>
  <c r="W52" i="4"/>
  <c r="I53" i="4"/>
  <c r="W54" i="4"/>
  <c r="I55" i="4"/>
  <c r="W56" i="4"/>
  <c r="I57" i="4"/>
  <c r="W58" i="4"/>
  <c r="I62" i="4"/>
  <c r="W63" i="4"/>
  <c r="I64" i="4"/>
  <c r="W65" i="4"/>
  <c r="I66" i="4"/>
  <c r="W67" i="4"/>
  <c r="I68" i="4"/>
  <c r="W69" i="4"/>
  <c r="I70" i="4"/>
  <c r="W74" i="4"/>
  <c r="I75" i="4"/>
  <c r="W76" i="4"/>
  <c r="I77" i="4"/>
  <c r="W78" i="4"/>
  <c r="I79" i="4"/>
  <c r="W80" i="4"/>
  <c r="P29" i="4"/>
  <c r="P31" i="4"/>
  <c r="P33" i="4"/>
  <c r="O38" i="4"/>
  <c r="O40" i="4"/>
  <c r="N42" i="4"/>
  <c r="N44" i="4"/>
  <c r="N46" i="4"/>
  <c r="M51" i="4"/>
  <c r="M53" i="4"/>
  <c r="M55" i="4"/>
  <c r="M57" i="4"/>
  <c r="M62" i="4"/>
  <c r="M64" i="4"/>
  <c r="M66" i="4"/>
  <c r="M68" i="4"/>
  <c r="M70" i="4"/>
  <c r="M75" i="4"/>
  <c r="M77" i="4"/>
  <c r="M79" i="4"/>
  <c r="M81" i="4"/>
  <c r="H82" i="4"/>
  <c r="R82" i="4"/>
  <c r="N81" i="4"/>
  <c r="I82" i="4"/>
  <c r="S82" i="4"/>
  <c r="O81" i="4"/>
  <c r="J82" i="4"/>
  <c r="T82" i="4"/>
  <c r="P81" i="4"/>
  <c r="Z81" i="4"/>
  <c r="K82" i="4"/>
  <c r="U82" i="4"/>
  <c r="M82" i="4"/>
  <c r="N82" i="4"/>
  <c r="O82" i="4"/>
  <c r="N38" i="4"/>
  <c r="N40" i="4"/>
  <c r="M42" i="4"/>
  <c r="M44" i="4"/>
  <c r="M46" i="4"/>
  <c r="P50" i="4"/>
  <c r="P52" i="4"/>
  <c r="P54" i="4"/>
  <c r="P56" i="4"/>
  <c r="P58" i="4"/>
  <c r="P63" i="4"/>
  <c r="P65" i="4"/>
  <c r="P67" i="4"/>
  <c r="P69" i="4"/>
  <c r="P74" i="4"/>
  <c r="P76" i="4"/>
  <c r="P78" i="4"/>
  <c r="P80" i="4"/>
  <c r="K81" i="4"/>
  <c r="P82" i="4"/>
  <c r="M13" i="5" l="1"/>
</calcChain>
</file>

<file path=xl/sharedStrings.xml><?xml version="1.0" encoding="utf-8"?>
<sst xmlns="http://schemas.openxmlformats.org/spreadsheetml/2006/main" count="1005" uniqueCount="139">
  <si>
    <t>Target Match Load</t>
  </si>
  <si>
    <t>Weekly Progressions</t>
  </si>
  <si>
    <t>Position</t>
  </si>
  <si>
    <t>TD</t>
  </si>
  <si>
    <t>HMLD</t>
  </si>
  <si>
    <t>HSR</t>
  </si>
  <si>
    <t>A+D</t>
  </si>
  <si>
    <t>BIP m/min</t>
  </si>
  <si>
    <t>Week 1</t>
  </si>
  <si>
    <t>Week 2</t>
  </si>
  <si>
    <t>Week 3</t>
  </si>
  <si>
    <t>Week 4</t>
  </si>
  <si>
    <t>Week 5</t>
  </si>
  <si>
    <t>Week 6</t>
  </si>
  <si>
    <t>Prop</t>
  </si>
  <si>
    <t>Hooker</t>
  </si>
  <si>
    <t>TOF</t>
  </si>
  <si>
    <t>BIP</t>
  </si>
  <si>
    <t>Lock</t>
  </si>
  <si>
    <t>Week 1 AVG</t>
  </si>
  <si>
    <t>Back row</t>
  </si>
  <si>
    <t>Week 2 AVG</t>
  </si>
  <si>
    <t>Scrum-half</t>
  </si>
  <si>
    <t>Week 3 AVG</t>
  </si>
  <si>
    <t>Fly-half</t>
  </si>
  <si>
    <t>Week 4 AVG</t>
  </si>
  <si>
    <t>Center</t>
  </si>
  <si>
    <t>Week 5 AVG</t>
  </si>
  <si>
    <t>Wing</t>
  </si>
  <si>
    <t>Week 6 AVG</t>
  </si>
  <si>
    <t>Fullback</t>
  </si>
  <si>
    <t>Week 1 TOF</t>
  </si>
  <si>
    <t>Monday - Speed Testing</t>
  </si>
  <si>
    <t>Tuesday - Bronco Testing</t>
  </si>
  <si>
    <t>Thursday - Shuttle Testing</t>
  </si>
  <si>
    <t>Friday - Skills</t>
  </si>
  <si>
    <t>Mon</t>
  </si>
  <si>
    <t>Tue</t>
  </si>
  <si>
    <t>Thu</t>
  </si>
  <si>
    <t>Fri</t>
  </si>
  <si>
    <t>Week 2 TOF</t>
  </si>
  <si>
    <t>Week 3 TOF</t>
  </si>
  <si>
    <t>Monday - Skills</t>
  </si>
  <si>
    <t>Tuesday - Team</t>
  </si>
  <si>
    <t>Thursday - Team</t>
  </si>
  <si>
    <t>Sat</t>
  </si>
  <si>
    <t>Week 4 TOF</t>
  </si>
  <si>
    <t>Week 5 TOF</t>
  </si>
  <si>
    <t>Saturday - Team</t>
  </si>
  <si>
    <t>Week 6 TOF</t>
  </si>
  <si>
    <t>Saturday - Scrimmage</t>
  </si>
  <si>
    <t>Weekly Progressions - In-Season Peaking Plan</t>
  </si>
  <si>
    <t>Week</t>
  </si>
  <si>
    <t>Dates</t>
  </si>
  <si>
    <t>Saturday</t>
  </si>
  <si>
    <t>Focus</t>
  </si>
  <si>
    <t>Avg TD</t>
  </si>
  <si>
    <t>Avg HMLD</t>
  </si>
  <si>
    <t>Avg HSR</t>
  </si>
  <si>
    <t>Avg A+D</t>
  </si>
  <si>
    <t>Weekly TOF</t>
  </si>
  <si>
    <t>9/21 - 9/27</t>
  </si>
  <si>
    <t>Normal load</t>
  </si>
  <si>
    <t>9/28 - 10/4</t>
  </si>
  <si>
    <t>10/5 - 10/11</t>
  </si>
  <si>
    <t>PEAK - taper</t>
  </si>
  <si>
    <t>10/12 - 10/18</t>
  </si>
  <si>
    <t>Reload</t>
  </si>
  <si>
    <t>10/19 - 10/25</t>
  </si>
  <si>
    <t>BYE</t>
  </si>
  <si>
    <t>10/26 - 11/1</t>
  </si>
  <si>
    <t>Week 7</t>
  </si>
  <si>
    <t>11/2 - 11/8</t>
  </si>
  <si>
    <t>Pre-taper</t>
  </si>
  <si>
    <t>Week 8</t>
  </si>
  <si>
    <t>11/9 - 11/15</t>
  </si>
  <si>
    <t>Week 9</t>
  </si>
  <si>
    <t>11/16 - 11/22</t>
  </si>
  <si>
    <t>Week 10</t>
  </si>
  <si>
    <t>11/23 - 11/29</t>
  </si>
  <si>
    <t>Week 11</t>
  </si>
  <si>
    <t>11/30 - 12/6</t>
  </si>
  <si>
    <t>Monday - Light Training</t>
  </si>
  <si>
    <t>Tuesday AM - Units</t>
  </si>
  <si>
    <t>Tuesday PM - Team</t>
  </si>
  <si>
    <t>Thursday AM - Units</t>
  </si>
  <si>
    <t>Thursday PM - Team</t>
  </si>
  <si>
    <t>Friday - Captain's Run</t>
  </si>
  <si>
    <t>Saturday - MATCH (9/26)</t>
  </si>
  <si>
    <t>Week 1  |  9/21 - 9/27  |  Match 9/26</t>
  </si>
  <si>
    <t>Week 1 TOF (min)</t>
  </si>
  <si>
    <t>Tue AM</t>
  </si>
  <si>
    <t>Tue PM</t>
  </si>
  <si>
    <t>Thu AM</t>
  </si>
  <si>
    <t>Thu PM</t>
  </si>
  <si>
    <t>Total</t>
  </si>
  <si>
    <t>Saturday - MATCH (10/3)</t>
  </si>
  <si>
    <t>Week 2  |  9/28 - 10/4  |  Match 10/3</t>
  </si>
  <si>
    <t>Week 2 TOF (min)</t>
  </si>
  <si>
    <t>Saturday - MATCH (10/10)</t>
  </si>
  <si>
    <t>Week 3  |  10/5 - 10/11  |  Match 10/10</t>
  </si>
  <si>
    <t>Week 3 TOF (min)</t>
  </si>
  <si>
    <t>Saturday - MATCH (10/17)</t>
  </si>
  <si>
    <t>Week 4  |  10/12 - 10/18  |  Match 10/17</t>
  </si>
  <si>
    <t>Week 4 TOF (min)</t>
  </si>
  <si>
    <t>Week 5 TOF (min)</t>
  </si>
  <si>
    <t>Saturday - MATCH (10/31)</t>
  </si>
  <si>
    <t>Week 6  |  10/26 - 11/1  |  Match 10/31</t>
  </si>
  <si>
    <t>Week 6 TOF (min)</t>
  </si>
  <si>
    <t>Saturday - MATCH (11/7)</t>
  </si>
  <si>
    <t>Week 7  |  11/2 - 11/8  |  Match 11/7</t>
  </si>
  <si>
    <t>Week 7 TOF (min)</t>
  </si>
  <si>
    <t>Saturday - MATCH (11/14)</t>
  </si>
  <si>
    <t>Week 8  |  11/9 - 11/15  |  Match 11/14</t>
  </si>
  <si>
    <t>Week 8 TOF (min)</t>
  </si>
  <si>
    <t>Saturday - MATCH (11/21)</t>
  </si>
  <si>
    <t>Week 9  |  11/16 - 11/22  |  Match 11/21</t>
  </si>
  <si>
    <t>Week 9 TOF (min)</t>
  </si>
  <si>
    <t>Week 10 TOF (min)</t>
  </si>
  <si>
    <t>Saturday - MATCH (12/5)</t>
  </si>
  <si>
    <t>Week 11  |  11/30 - 12/6  |  Match 12/5</t>
  </si>
  <si>
    <t>Week 11 TOF (min)</t>
  </si>
  <si>
    <t>Load Scalar</t>
  </si>
  <si>
    <t>Weekly Total (x Match)</t>
  </si>
  <si>
    <t>Session % = share of MATCH load (see note). Weekly total is the sum of the 7 sessions.</t>
  </si>
  <si>
    <t>Friday - OFF</t>
  </si>
  <si>
    <t>Saturday - OFF (BYE)</t>
  </si>
  <si>
    <t>Week 5  |  10/19 - 10/25  |  BYE WEEK - DELOAD / recovery, Fri + Sat off</t>
  </si>
  <si>
    <t>DELOAD - recovery</t>
  </si>
  <si>
    <t>Wednesday AM - Units</t>
  </si>
  <si>
    <t>Wednesday PM - Team</t>
  </si>
  <si>
    <t>Saturday - OFF (No Match)</t>
  </si>
  <si>
    <t>Week 10  |  11/23 - 11/29  |  THANKSGIVING - deload, no match, Mon-Wed only</t>
  </si>
  <si>
    <t>Wed AM</t>
  </si>
  <si>
    <t>Wed PM</t>
  </si>
  <si>
    <t>Fri (off)</t>
  </si>
  <si>
    <t>Sat (off)</t>
  </si>
  <si>
    <t>OFF</t>
  </si>
  <si>
    <t>DELOAD - Thanksgiving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</si>
</sst>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&quot;x&quot;"/>
    <numFmt numFmtId="165" formatCode="m/d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008000"/>
      <name val="Arial"/>
      <family val="2"/>
      <scheme val="minor"/>
    </font>
    <font>
      <sz val="10"/>
      <color rgb="FF0000FF"/>
      <name val="Arial"/>
      <family val="2"/>
      <scheme val="minor"/>
    </font>
    <font>
      <b/>
      <sz val="10"/>
      <color rgb="FF0000FF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87C280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D9D2E9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3" fontId="10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9" fillId="6" borderId="0" xfId="0" applyFont="1" applyFill="1" applyAlignment="1">
      <alignment horizontal="left"/>
    </xf>
    <xf numFmtId="9" fontId="11" fillId="7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9" fontId="11" fillId="8" borderId="0" xfId="0" applyNumberFormat="1" applyFont="1" applyFill="1" applyAlignment="1">
      <alignment horizontal="center"/>
    </xf>
    <xf numFmtId="0" fontId="8" fillId="8" borderId="0" xfId="0" applyFont="1" applyFill="1" applyAlignment="1">
      <alignment horizontal="center"/>
    </xf>
    <xf numFmtId="9" fontId="11" fillId="9" borderId="0" xfId="0" applyNumberFormat="1" applyFont="1" applyFill="1" applyAlignment="1">
      <alignment horizontal="center"/>
    </xf>
    <xf numFmtId="0" fontId="8" fillId="9" borderId="0" xfId="0" applyFont="1" applyFill="1" applyAlignment="1">
      <alignment horizontal="center"/>
    </xf>
    <xf numFmtId="9" fontId="11" fillId="10" borderId="0" xfId="0" applyNumberFormat="1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9" fontId="11" fillId="11" borderId="0" xfId="0" applyNumberFormat="1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" fontId="11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9" fillId="12" borderId="0" xfId="0" applyFont="1" applyFill="1" applyAlignment="1">
      <alignment horizontal="left"/>
    </xf>
    <xf numFmtId="0" fontId="9" fillId="13" borderId="0" xfId="0" applyFont="1" applyFill="1" applyAlignment="1">
      <alignment horizontal="left"/>
    </xf>
    <xf numFmtId="165" fontId="7" fillId="0" borderId="0" xfId="0" applyNumberFormat="1" applyFont="1" applyAlignment="1">
      <alignment horizontal="center"/>
    </xf>
    <xf numFmtId="9" fontId="12" fillId="5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Assignments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BB6123-AE67-804C-8BD6-91D1BD86A0E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391c13b-26a6-4ca9-adfc-1e602a70b68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05"/>
  <sheetViews>
    <sheetView workbookViewId="0">
      <selection sqref="A1:XFD1048576"/>
    </sheetView>
  </sheetViews>
  <sheetFormatPr baseColWidth="10" defaultColWidth="12.6640625" defaultRowHeight="15.75" customHeight="1" x14ac:dyDescent="0.15"/>
  <sheetData>
    <row r="1" spans="1:30" ht="15.75" customHeight="1" x14ac:dyDescent="0.15">
      <c r="A1" s="1"/>
      <c r="B1" s="9" t="s">
        <v>0</v>
      </c>
      <c r="C1" s="10"/>
      <c r="D1" s="10"/>
      <c r="E1" s="10"/>
      <c r="F1" s="11"/>
      <c r="G1" s="2"/>
      <c r="H1" s="9" t="s">
        <v>1</v>
      </c>
      <c r="I1" s="10"/>
      <c r="J1" s="10"/>
      <c r="K1" s="10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 x14ac:dyDescent="0.1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1"/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 x14ac:dyDescent="0.15">
      <c r="A3" s="4" t="s">
        <v>14</v>
      </c>
      <c r="B3" s="5">
        <v>5626</v>
      </c>
      <c r="C3" s="6">
        <v>391</v>
      </c>
      <c r="D3" s="6">
        <v>100</v>
      </c>
      <c r="E3" s="6">
        <v>31</v>
      </c>
      <c r="F3" s="6">
        <v>85</v>
      </c>
      <c r="G3" s="1"/>
      <c r="H3" s="1">
        <v>1.8</v>
      </c>
      <c r="I3" s="1">
        <v>2.2000000000000002</v>
      </c>
      <c r="J3" s="1">
        <v>2.6</v>
      </c>
      <c r="K3" s="1">
        <v>2.4</v>
      </c>
      <c r="L3" s="1">
        <v>2.5</v>
      </c>
      <c r="M3" s="1">
        <v>2.6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customHeight="1" x14ac:dyDescent="0.15">
      <c r="A4" s="4" t="s">
        <v>15</v>
      </c>
      <c r="B4" s="5">
        <v>5487</v>
      </c>
      <c r="C4" s="6">
        <v>364</v>
      </c>
      <c r="D4" s="6">
        <v>140</v>
      </c>
      <c r="E4" s="6">
        <v>30</v>
      </c>
      <c r="F4" s="6">
        <v>81</v>
      </c>
      <c r="G4" s="1"/>
      <c r="H4" s="3" t="s">
        <v>3</v>
      </c>
      <c r="I4" s="3" t="s">
        <v>4</v>
      </c>
      <c r="J4" s="3" t="s">
        <v>5</v>
      </c>
      <c r="K4" s="3" t="s">
        <v>6</v>
      </c>
      <c r="L4" s="3" t="s">
        <v>16</v>
      </c>
      <c r="M4" s="3" t="s">
        <v>17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customHeight="1" x14ac:dyDescent="0.15">
      <c r="A5" s="4" t="s">
        <v>18</v>
      </c>
      <c r="B5" s="5">
        <v>6309</v>
      </c>
      <c r="C5" s="6">
        <v>563</v>
      </c>
      <c r="D5" s="6">
        <v>284</v>
      </c>
      <c r="E5" s="6">
        <v>53</v>
      </c>
      <c r="F5" s="6">
        <v>103</v>
      </c>
      <c r="G5" s="7" t="s">
        <v>19</v>
      </c>
      <c r="H5" s="8">
        <f t="shared" ref="H5:K5" si="0">AVERAGE(B14:B22)</f>
        <v>11526.6</v>
      </c>
      <c r="I5" s="8">
        <f t="shared" si="0"/>
        <v>1466.1999999999998</v>
      </c>
      <c r="J5" s="8">
        <f t="shared" si="0"/>
        <v>908.19999999999993</v>
      </c>
      <c r="K5" s="8">
        <f t="shared" si="0"/>
        <v>137</v>
      </c>
      <c r="L5" s="1">
        <v>260</v>
      </c>
      <c r="M5" s="1">
        <v>26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customHeight="1" x14ac:dyDescent="0.15">
      <c r="A6" s="4" t="s">
        <v>20</v>
      </c>
      <c r="B6" s="5">
        <v>6399</v>
      </c>
      <c r="C6" s="6">
        <v>698</v>
      </c>
      <c r="D6" s="6">
        <v>356</v>
      </c>
      <c r="E6" s="6">
        <v>71</v>
      </c>
      <c r="F6" s="6">
        <v>106</v>
      </c>
      <c r="G6" s="7" t="s">
        <v>21</v>
      </c>
      <c r="H6" s="8">
        <f t="shared" ref="H6:K6" si="1">AVERAGE(B26:B34)</f>
        <v>14088.066666666668</v>
      </c>
      <c r="I6" s="8">
        <f t="shared" si="1"/>
        <v>1792.0222222222226</v>
      </c>
      <c r="J6" s="8">
        <f t="shared" si="1"/>
        <v>1110.0222222222224</v>
      </c>
      <c r="K6" s="8">
        <f t="shared" si="1"/>
        <v>167.44444444444446</v>
      </c>
      <c r="L6" s="1">
        <v>275</v>
      </c>
      <c r="M6" s="1">
        <v>34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customHeight="1" x14ac:dyDescent="0.15">
      <c r="A7" s="4" t="s">
        <v>22</v>
      </c>
      <c r="B7" s="5">
        <v>6484</v>
      </c>
      <c r="C7" s="5">
        <v>1193</v>
      </c>
      <c r="D7" s="6">
        <v>819</v>
      </c>
      <c r="E7" s="6">
        <v>102</v>
      </c>
      <c r="F7" s="6">
        <v>106</v>
      </c>
      <c r="G7" s="7" t="s">
        <v>23</v>
      </c>
      <c r="H7" s="8">
        <f t="shared" ref="H7:K7" si="2">AVERAGE(B38:B46)</f>
        <v>16649.533333333333</v>
      </c>
      <c r="I7" s="8">
        <f t="shared" si="2"/>
        <v>2117.8444444444449</v>
      </c>
      <c r="J7" s="8">
        <f t="shared" si="2"/>
        <v>1311.8444444444444</v>
      </c>
      <c r="K7" s="8">
        <f t="shared" si="2"/>
        <v>197.88888888888889</v>
      </c>
      <c r="L7" s="1">
        <v>295</v>
      </c>
      <c r="M7" s="1">
        <v>44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customHeight="1" x14ac:dyDescent="0.15">
      <c r="A8" s="4" t="s">
        <v>24</v>
      </c>
      <c r="B8" s="5">
        <v>6056</v>
      </c>
      <c r="C8" s="6">
        <v>661</v>
      </c>
      <c r="D8" s="6">
        <v>269</v>
      </c>
      <c r="E8" s="6">
        <v>87</v>
      </c>
      <c r="F8" s="6">
        <v>95</v>
      </c>
      <c r="G8" s="7" t="s">
        <v>25</v>
      </c>
      <c r="H8" s="8">
        <f t="shared" ref="H8:K8" si="3">AVERAGE(B50:B58)</f>
        <v>15368.800000000001</v>
      </c>
      <c r="I8" s="8">
        <f t="shared" si="3"/>
        <v>1954.9333333333334</v>
      </c>
      <c r="J8" s="8">
        <f t="shared" si="3"/>
        <v>1210.9333333333334</v>
      </c>
      <c r="K8" s="8">
        <f t="shared" si="3"/>
        <v>182.66666666666666</v>
      </c>
      <c r="L8" s="1">
        <v>270</v>
      </c>
      <c r="M8" s="1">
        <v>40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customHeight="1" x14ac:dyDescent="0.15">
      <c r="A9" s="4" t="s">
        <v>26</v>
      </c>
      <c r="B9" s="5">
        <v>6757</v>
      </c>
      <c r="C9" s="5">
        <v>1075</v>
      </c>
      <c r="D9" s="6">
        <v>733</v>
      </c>
      <c r="E9" s="6">
        <v>113</v>
      </c>
      <c r="F9" s="6">
        <v>112</v>
      </c>
      <c r="G9" s="7" t="s">
        <v>27</v>
      </c>
      <c r="H9" s="8">
        <f t="shared" ref="H9:K9" si="4">AVERAGE(B62:B70)</f>
        <v>16009.166666666666</v>
      </c>
      <c r="I9" s="8">
        <f t="shared" si="4"/>
        <v>2036.3888888888889</v>
      </c>
      <c r="J9" s="8">
        <f t="shared" si="4"/>
        <v>1261.3888888888889</v>
      </c>
      <c r="K9" s="8">
        <f t="shared" si="4"/>
        <v>190.27777777777777</v>
      </c>
      <c r="L9" s="1">
        <v>305</v>
      </c>
      <c r="M9" s="1">
        <v>54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 x14ac:dyDescent="0.15">
      <c r="A10" s="4" t="s">
        <v>28</v>
      </c>
      <c r="B10" s="5">
        <v>7385</v>
      </c>
      <c r="C10" s="5">
        <v>1291</v>
      </c>
      <c r="D10" s="5">
        <v>1034</v>
      </c>
      <c r="E10" s="6">
        <v>105</v>
      </c>
      <c r="F10" s="6">
        <v>130</v>
      </c>
      <c r="G10" s="7" t="s">
        <v>29</v>
      </c>
      <c r="H10" s="8">
        <f t="shared" ref="H10:K10" si="5">AVERAGE(B74:B82)</f>
        <v>16649.533333333333</v>
      </c>
      <c r="I10" s="8">
        <f t="shared" si="5"/>
        <v>2117.8444444444449</v>
      </c>
      <c r="J10" s="8">
        <f t="shared" si="5"/>
        <v>1311.8444444444444</v>
      </c>
      <c r="K10" s="8">
        <f t="shared" si="5"/>
        <v>197.88888888888889</v>
      </c>
      <c r="L10" s="1">
        <v>315</v>
      </c>
      <c r="M10" s="1">
        <v>18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customHeight="1" x14ac:dyDescent="0.15">
      <c r="A11" s="4" t="s">
        <v>30</v>
      </c>
      <c r="B11" s="5">
        <v>7130</v>
      </c>
      <c r="C11" s="5">
        <v>1095</v>
      </c>
      <c r="D11" s="6">
        <v>806</v>
      </c>
      <c r="E11" s="6">
        <v>93</v>
      </c>
      <c r="F11" s="6">
        <v>121</v>
      </c>
      <c r="G11" s="1"/>
      <c r="H11" s="1">
        <v>0.1</v>
      </c>
      <c r="I11" s="1">
        <v>0.1</v>
      </c>
      <c r="J11" s="1">
        <v>0.1</v>
      </c>
      <c r="K11" s="1">
        <v>0.05</v>
      </c>
      <c r="L11" s="1"/>
      <c r="M11" s="1">
        <v>0.35</v>
      </c>
      <c r="N11" s="1">
        <v>0.35</v>
      </c>
      <c r="O11" s="1">
        <v>0.5</v>
      </c>
      <c r="P11" s="1">
        <v>0.3</v>
      </c>
      <c r="Q11" s="1"/>
      <c r="R11" s="1">
        <v>0.4</v>
      </c>
      <c r="S11" s="1">
        <v>0.45</v>
      </c>
      <c r="T11" s="1">
        <v>0.35</v>
      </c>
      <c r="U11" s="1">
        <v>0.5</v>
      </c>
      <c r="V11" s="1"/>
      <c r="W11" s="1">
        <v>0.15</v>
      </c>
      <c r="X11" s="1">
        <v>0.1</v>
      </c>
      <c r="Y11" s="1">
        <v>0.05</v>
      </c>
      <c r="Z11" s="1">
        <v>0.15</v>
      </c>
      <c r="AA11" s="1"/>
      <c r="AB11" s="12" t="s">
        <v>31</v>
      </c>
      <c r="AC11" s="11"/>
      <c r="AD11" s="1"/>
    </row>
    <row r="12" spans="1:30" ht="15.75" customHeight="1" x14ac:dyDescent="0.15">
      <c r="A12" s="9" t="s">
        <v>8</v>
      </c>
      <c r="B12" s="10"/>
      <c r="C12" s="10"/>
      <c r="D12" s="10"/>
      <c r="E12" s="10"/>
      <c r="F12" s="11"/>
      <c r="G12" s="1"/>
      <c r="H12" s="9" t="s">
        <v>32</v>
      </c>
      <c r="I12" s="10"/>
      <c r="J12" s="10"/>
      <c r="K12" s="11"/>
      <c r="L12" s="1"/>
      <c r="M12" s="9" t="s">
        <v>33</v>
      </c>
      <c r="N12" s="10"/>
      <c r="O12" s="10"/>
      <c r="P12" s="11"/>
      <c r="Q12" s="1"/>
      <c r="R12" s="9" t="s">
        <v>34</v>
      </c>
      <c r="S12" s="10"/>
      <c r="T12" s="10"/>
      <c r="U12" s="11"/>
      <c r="V12" s="1"/>
      <c r="W12" s="9" t="s">
        <v>35</v>
      </c>
      <c r="X12" s="10"/>
      <c r="Y12" s="10"/>
      <c r="Z12" s="11"/>
      <c r="AA12" s="1"/>
      <c r="AB12" s="1" t="s">
        <v>36</v>
      </c>
      <c r="AC12" s="1">
        <v>60</v>
      </c>
      <c r="AD12" s="1"/>
    </row>
    <row r="13" spans="1:30" ht="15.75" customHeight="1" x14ac:dyDescent="0.15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1"/>
      <c r="H13" s="3" t="s">
        <v>3</v>
      </c>
      <c r="I13" s="3" t="s">
        <v>4</v>
      </c>
      <c r="J13" s="3" t="s">
        <v>5</v>
      </c>
      <c r="K13" s="3" t="s">
        <v>6</v>
      </c>
      <c r="L13" s="1"/>
      <c r="M13" s="3" t="s">
        <v>3</v>
      </c>
      <c r="N13" s="3" t="s">
        <v>4</v>
      </c>
      <c r="O13" s="3" t="s">
        <v>5</v>
      </c>
      <c r="P13" s="3" t="s">
        <v>6</v>
      </c>
      <c r="Q13" s="1"/>
      <c r="R13" s="3" t="s">
        <v>3</v>
      </c>
      <c r="S13" s="3" t="s">
        <v>4</v>
      </c>
      <c r="T13" s="3" t="s">
        <v>5</v>
      </c>
      <c r="U13" s="3" t="s">
        <v>6</v>
      </c>
      <c r="V13" s="1"/>
      <c r="W13" s="3" t="s">
        <v>3</v>
      </c>
      <c r="X13" s="3" t="s">
        <v>4</v>
      </c>
      <c r="Y13" s="3" t="s">
        <v>5</v>
      </c>
      <c r="Z13" s="3" t="s">
        <v>6</v>
      </c>
      <c r="AA13" s="1"/>
      <c r="AB13" s="1" t="s">
        <v>37</v>
      </c>
      <c r="AC13" s="1">
        <v>70</v>
      </c>
      <c r="AD13" s="1"/>
    </row>
    <row r="14" spans="1:30" ht="15.75" customHeight="1" x14ac:dyDescent="0.15">
      <c r="A14" s="4" t="s">
        <v>14</v>
      </c>
      <c r="B14" s="1">
        <f t="shared" ref="B14:E14" si="6">B3*$H$3</f>
        <v>10126.800000000001</v>
      </c>
      <c r="C14" s="1">
        <f t="shared" si="6"/>
        <v>703.80000000000007</v>
      </c>
      <c r="D14" s="1">
        <f t="shared" si="6"/>
        <v>180</v>
      </c>
      <c r="E14" s="1">
        <f t="shared" si="6"/>
        <v>55.800000000000004</v>
      </c>
      <c r="F14" s="1">
        <v>85</v>
      </c>
      <c r="G14" s="1"/>
      <c r="H14" s="1">
        <f t="shared" ref="H14:H22" si="7">B14*$H$11</f>
        <v>1012.6800000000002</v>
      </c>
      <c r="I14" s="1">
        <f t="shared" ref="I14:I22" si="8">C14*$I$11</f>
        <v>70.38000000000001</v>
      </c>
      <c r="J14" s="1">
        <f t="shared" ref="J14:J22" si="9">D14*$J$11</f>
        <v>18</v>
      </c>
      <c r="K14" s="1">
        <f t="shared" ref="K14:K22" si="10">E14*$K$11</f>
        <v>2.7900000000000005</v>
      </c>
      <c r="L14" s="1"/>
      <c r="M14" s="1">
        <f t="shared" ref="M14:M22" si="11">B14*$M$11</f>
        <v>3544.38</v>
      </c>
      <c r="N14" s="1">
        <f t="shared" ref="N14:N22" si="12">C14*$N$11</f>
        <v>246.33</v>
      </c>
      <c r="O14" s="1">
        <f t="shared" ref="O14:O22" si="13">D14*$O$11</f>
        <v>90</v>
      </c>
      <c r="P14" s="1">
        <f t="shared" ref="P14:P22" si="14">E14*$P$11</f>
        <v>16.740000000000002</v>
      </c>
      <c r="Q14" s="1"/>
      <c r="R14" s="1">
        <f t="shared" ref="R14:R22" si="15">B14*$R$11</f>
        <v>4050.7200000000007</v>
      </c>
      <c r="S14" s="1">
        <f t="shared" ref="S14:S22" si="16">C14*$S$11</f>
        <v>316.71000000000004</v>
      </c>
      <c r="T14" s="1">
        <f t="shared" ref="T14:T22" si="17">D14*$T$11</f>
        <v>62.999999999999993</v>
      </c>
      <c r="U14" s="1">
        <f t="shared" ref="U14:U22" si="18">E14*$U$11</f>
        <v>27.900000000000002</v>
      </c>
      <c r="V14" s="1"/>
      <c r="W14" s="1">
        <f t="shared" ref="W14:W22" si="19">B14*$W$11</f>
        <v>1519.0200000000002</v>
      </c>
      <c r="X14" s="1">
        <f t="shared" ref="X14:X22" si="20">C14*$X$11</f>
        <v>70.38000000000001</v>
      </c>
      <c r="Y14" s="1">
        <f t="shared" ref="Y14:Y22" si="21">D14*$Y$11</f>
        <v>9</v>
      </c>
      <c r="Z14" s="1">
        <f t="shared" ref="Z14:Z22" si="22">E14*$Z$11</f>
        <v>8.370000000000001</v>
      </c>
      <c r="AA14" s="1"/>
      <c r="AB14" s="1" t="s">
        <v>38</v>
      </c>
      <c r="AC14" s="1">
        <v>70</v>
      </c>
      <c r="AD14" s="1"/>
    </row>
    <row r="15" spans="1:30" ht="15.75" customHeight="1" x14ac:dyDescent="0.15">
      <c r="A15" s="4" t="s">
        <v>15</v>
      </c>
      <c r="B15" s="1">
        <f t="shared" ref="B15:E15" si="23">B4*$H$3</f>
        <v>9876.6</v>
      </c>
      <c r="C15" s="1">
        <f t="shared" si="23"/>
        <v>655.20000000000005</v>
      </c>
      <c r="D15" s="1">
        <f t="shared" si="23"/>
        <v>252</v>
      </c>
      <c r="E15" s="1">
        <f t="shared" si="23"/>
        <v>54</v>
      </c>
      <c r="F15" s="1">
        <v>81</v>
      </c>
      <c r="G15" s="1"/>
      <c r="H15" s="1">
        <f t="shared" si="7"/>
        <v>987.66000000000008</v>
      </c>
      <c r="I15" s="1">
        <f t="shared" si="8"/>
        <v>65.52000000000001</v>
      </c>
      <c r="J15" s="1">
        <f t="shared" si="9"/>
        <v>25.200000000000003</v>
      </c>
      <c r="K15" s="1">
        <f t="shared" si="10"/>
        <v>2.7</v>
      </c>
      <c r="L15" s="1"/>
      <c r="M15" s="1">
        <f t="shared" si="11"/>
        <v>3456.81</v>
      </c>
      <c r="N15" s="1">
        <f t="shared" si="12"/>
        <v>229.32</v>
      </c>
      <c r="O15" s="1">
        <f t="shared" si="13"/>
        <v>126</v>
      </c>
      <c r="P15" s="1">
        <f t="shared" si="14"/>
        <v>16.2</v>
      </c>
      <c r="Q15" s="1"/>
      <c r="R15" s="1">
        <f t="shared" si="15"/>
        <v>3950.6400000000003</v>
      </c>
      <c r="S15" s="1">
        <f t="shared" si="16"/>
        <v>294.84000000000003</v>
      </c>
      <c r="T15" s="1">
        <f t="shared" si="17"/>
        <v>88.199999999999989</v>
      </c>
      <c r="U15" s="1">
        <f t="shared" si="18"/>
        <v>27</v>
      </c>
      <c r="V15" s="1"/>
      <c r="W15" s="1">
        <f t="shared" si="19"/>
        <v>1481.49</v>
      </c>
      <c r="X15" s="1">
        <f t="shared" si="20"/>
        <v>65.52000000000001</v>
      </c>
      <c r="Y15" s="1">
        <f t="shared" si="21"/>
        <v>12.600000000000001</v>
      </c>
      <c r="Z15" s="1">
        <f t="shared" si="22"/>
        <v>8.1</v>
      </c>
      <c r="AA15" s="1"/>
      <c r="AB15" s="1" t="s">
        <v>39</v>
      </c>
      <c r="AC15" s="1">
        <v>60</v>
      </c>
      <c r="AD15" s="1"/>
    </row>
    <row r="16" spans="1:30" ht="15.75" customHeight="1" x14ac:dyDescent="0.15">
      <c r="A16" s="4" t="s">
        <v>18</v>
      </c>
      <c r="B16" s="1">
        <f t="shared" ref="B16:E16" si="24">B5*$H$3</f>
        <v>11356.2</v>
      </c>
      <c r="C16" s="1">
        <f t="shared" si="24"/>
        <v>1013.4</v>
      </c>
      <c r="D16" s="1">
        <f t="shared" si="24"/>
        <v>511.2</v>
      </c>
      <c r="E16" s="1">
        <f t="shared" si="24"/>
        <v>95.4</v>
      </c>
      <c r="F16" s="1">
        <v>103</v>
      </c>
      <c r="G16" s="1"/>
      <c r="H16" s="1">
        <f t="shared" si="7"/>
        <v>1135.6200000000001</v>
      </c>
      <c r="I16" s="1">
        <f t="shared" si="8"/>
        <v>101.34</v>
      </c>
      <c r="J16" s="1">
        <f t="shared" si="9"/>
        <v>51.120000000000005</v>
      </c>
      <c r="K16" s="1">
        <f t="shared" si="10"/>
        <v>4.7700000000000005</v>
      </c>
      <c r="L16" s="1"/>
      <c r="M16" s="1">
        <f t="shared" si="11"/>
        <v>3974.67</v>
      </c>
      <c r="N16" s="1">
        <f t="shared" si="12"/>
        <v>354.69</v>
      </c>
      <c r="O16" s="1">
        <f t="shared" si="13"/>
        <v>255.6</v>
      </c>
      <c r="P16" s="1">
        <f t="shared" si="14"/>
        <v>28.62</v>
      </c>
      <c r="Q16" s="1"/>
      <c r="R16" s="1">
        <f t="shared" si="15"/>
        <v>4542.4800000000005</v>
      </c>
      <c r="S16" s="1">
        <f t="shared" si="16"/>
        <v>456.03</v>
      </c>
      <c r="T16" s="1">
        <f t="shared" si="17"/>
        <v>178.92</v>
      </c>
      <c r="U16" s="1">
        <f t="shared" si="18"/>
        <v>47.7</v>
      </c>
      <c r="V16" s="1"/>
      <c r="W16" s="1">
        <f t="shared" si="19"/>
        <v>1703.43</v>
      </c>
      <c r="X16" s="1">
        <f t="shared" si="20"/>
        <v>101.34</v>
      </c>
      <c r="Y16" s="1">
        <f t="shared" si="21"/>
        <v>25.560000000000002</v>
      </c>
      <c r="Z16" s="1">
        <f t="shared" si="22"/>
        <v>14.31</v>
      </c>
      <c r="AA16" s="1"/>
      <c r="AB16" s="1"/>
      <c r="AC16" s="2">
        <f>SUM(AC12:AC15)</f>
        <v>260</v>
      </c>
      <c r="AD16" s="1"/>
    </row>
    <row r="17" spans="1:30" ht="15.75" customHeight="1" x14ac:dyDescent="0.15">
      <c r="A17" s="4" t="s">
        <v>20</v>
      </c>
      <c r="B17" s="1">
        <f t="shared" ref="B17:E17" si="25">B6*$H$3</f>
        <v>11518.2</v>
      </c>
      <c r="C17" s="1">
        <f t="shared" si="25"/>
        <v>1256.4000000000001</v>
      </c>
      <c r="D17" s="1">
        <f t="shared" si="25"/>
        <v>640.80000000000007</v>
      </c>
      <c r="E17" s="1">
        <f t="shared" si="25"/>
        <v>127.8</v>
      </c>
      <c r="F17" s="1">
        <v>106</v>
      </c>
      <c r="G17" s="1"/>
      <c r="H17" s="1">
        <f t="shared" si="7"/>
        <v>1151.8200000000002</v>
      </c>
      <c r="I17" s="1">
        <f t="shared" si="8"/>
        <v>125.64000000000001</v>
      </c>
      <c r="J17" s="1">
        <f t="shared" si="9"/>
        <v>64.080000000000013</v>
      </c>
      <c r="K17" s="1">
        <f t="shared" si="10"/>
        <v>6.3900000000000006</v>
      </c>
      <c r="L17" s="1"/>
      <c r="M17" s="1">
        <f t="shared" si="11"/>
        <v>4031.37</v>
      </c>
      <c r="N17" s="1">
        <f t="shared" si="12"/>
        <v>439.74</v>
      </c>
      <c r="O17" s="1">
        <f t="shared" si="13"/>
        <v>320.40000000000003</v>
      </c>
      <c r="P17" s="1">
        <f t="shared" si="14"/>
        <v>38.339999999999996</v>
      </c>
      <c r="Q17" s="1"/>
      <c r="R17" s="1">
        <f t="shared" si="15"/>
        <v>4607.2800000000007</v>
      </c>
      <c r="S17" s="1">
        <f t="shared" si="16"/>
        <v>565.38000000000011</v>
      </c>
      <c r="T17" s="1">
        <f t="shared" si="17"/>
        <v>224.28</v>
      </c>
      <c r="U17" s="1">
        <f t="shared" si="18"/>
        <v>63.9</v>
      </c>
      <c r="V17" s="1"/>
      <c r="W17" s="1">
        <f t="shared" si="19"/>
        <v>1727.73</v>
      </c>
      <c r="X17" s="1">
        <f t="shared" si="20"/>
        <v>125.64000000000001</v>
      </c>
      <c r="Y17" s="1">
        <f t="shared" si="21"/>
        <v>32.040000000000006</v>
      </c>
      <c r="Z17" s="1">
        <f t="shared" si="22"/>
        <v>19.169999999999998</v>
      </c>
      <c r="AA17" s="1"/>
      <c r="AB17" s="12" t="s">
        <v>40</v>
      </c>
      <c r="AC17" s="11"/>
      <c r="AD17" s="1"/>
    </row>
    <row r="18" spans="1:30" ht="15.75" customHeight="1" x14ac:dyDescent="0.15">
      <c r="A18" s="4" t="s">
        <v>22</v>
      </c>
      <c r="B18" s="1">
        <f t="shared" ref="B18:E18" si="26">B7*$H$3</f>
        <v>11671.2</v>
      </c>
      <c r="C18" s="1">
        <f t="shared" si="26"/>
        <v>2147.4</v>
      </c>
      <c r="D18" s="1">
        <f t="shared" si="26"/>
        <v>1474.2</v>
      </c>
      <c r="E18" s="1">
        <f t="shared" si="26"/>
        <v>183.6</v>
      </c>
      <c r="F18" s="1">
        <v>106</v>
      </c>
      <c r="G18" s="1"/>
      <c r="H18" s="1">
        <f t="shared" si="7"/>
        <v>1167.1200000000001</v>
      </c>
      <c r="I18" s="1">
        <f t="shared" si="8"/>
        <v>214.74</v>
      </c>
      <c r="J18" s="1">
        <f t="shared" si="9"/>
        <v>147.42000000000002</v>
      </c>
      <c r="K18" s="1">
        <f t="shared" si="10"/>
        <v>9.18</v>
      </c>
      <c r="L18" s="1"/>
      <c r="M18" s="1">
        <f t="shared" si="11"/>
        <v>4084.92</v>
      </c>
      <c r="N18" s="1">
        <f t="shared" si="12"/>
        <v>751.59</v>
      </c>
      <c r="O18" s="1">
        <f t="shared" si="13"/>
        <v>737.1</v>
      </c>
      <c r="P18" s="1">
        <f t="shared" si="14"/>
        <v>55.08</v>
      </c>
      <c r="Q18" s="1"/>
      <c r="R18" s="1">
        <f t="shared" si="15"/>
        <v>4668.4800000000005</v>
      </c>
      <c r="S18" s="1">
        <f t="shared" si="16"/>
        <v>966.33</v>
      </c>
      <c r="T18" s="1">
        <f t="shared" si="17"/>
        <v>515.97</v>
      </c>
      <c r="U18" s="1">
        <f t="shared" si="18"/>
        <v>91.8</v>
      </c>
      <c r="V18" s="1"/>
      <c r="W18" s="1">
        <f t="shared" si="19"/>
        <v>1750.68</v>
      </c>
      <c r="X18" s="1">
        <f t="shared" si="20"/>
        <v>214.74</v>
      </c>
      <c r="Y18" s="1">
        <f t="shared" si="21"/>
        <v>73.710000000000008</v>
      </c>
      <c r="Z18" s="1">
        <f t="shared" si="22"/>
        <v>27.54</v>
      </c>
      <c r="AA18" s="1"/>
      <c r="AB18" s="1" t="s">
        <v>36</v>
      </c>
      <c r="AC18" s="1">
        <v>60</v>
      </c>
      <c r="AD18" s="1"/>
    </row>
    <row r="19" spans="1:30" ht="15.75" customHeight="1" x14ac:dyDescent="0.15">
      <c r="A19" s="4" t="s">
        <v>24</v>
      </c>
      <c r="B19" s="1">
        <f t="shared" ref="B19:E19" si="27">B8*$H$3</f>
        <v>10900.800000000001</v>
      </c>
      <c r="C19" s="1">
        <f t="shared" si="27"/>
        <v>1189.8</v>
      </c>
      <c r="D19" s="1">
        <f t="shared" si="27"/>
        <v>484.2</v>
      </c>
      <c r="E19" s="1">
        <f t="shared" si="27"/>
        <v>156.6</v>
      </c>
      <c r="F19" s="1">
        <v>95</v>
      </c>
      <c r="G19" s="1"/>
      <c r="H19" s="1">
        <f t="shared" si="7"/>
        <v>1090.0800000000002</v>
      </c>
      <c r="I19" s="1">
        <f t="shared" si="8"/>
        <v>118.98</v>
      </c>
      <c r="J19" s="1">
        <f t="shared" si="9"/>
        <v>48.42</v>
      </c>
      <c r="K19" s="1">
        <f t="shared" si="10"/>
        <v>7.83</v>
      </c>
      <c r="L19" s="1"/>
      <c r="M19" s="1">
        <f t="shared" si="11"/>
        <v>3815.28</v>
      </c>
      <c r="N19" s="1">
        <f t="shared" si="12"/>
        <v>416.42999999999995</v>
      </c>
      <c r="O19" s="1">
        <f t="shared" si="13"/>
        <v>242.1</v>
      </c>
      <c r="P19" s="1">
        <f t="shared" si="14"/>
        <v>46.98</v>
      </c>
      <c r="Q19" s="1"/>
      <c r="R19" s="1">
        <f t="shared" si="15"/>
        <v>4360.3200000000006</v>
      </c>
      <c r="S19" s="1">
        <f t="shared" si="16"/>
        <v>535.41</v>
      </c>
      <c r="T19" s="1">
        <f t="shared" si="17"/>
        <v>169.47</v>
      </c>
      <c r="U19" s="1">
        <f t="shared" si="18"/>
        <v>78.3</v>
      </c>
      <c r="V19" s="1"/>
      <c r="W19" s="1">
        <f t="shared" si="19"/>
        <v>1635.1200000000001</v>
      </c>
      <c r="X19" s="1">
        <f t="shared" si="20"/>
        <v>118.98</v>
      </c>
      <c r="Y19" s="1">
        <f t="shared" si="21"/>
        <v>24.21</v>
      </c>
      <c r="Z19" s="1">
        <f t="shared" si="22"/>
        <v>23.49</v>
      </c>
      <c r="AA19" s="1"/>
      <c r="AB19" s="1" t="s">
        <v>37</v>
      </c>
      <c r="AC19" s="1">
        <v>75</v>
      </c>
      <c r="AD19" s="1"/>
    </row>
    <row r="20" spans="1:30" ht="15.75" customHeight="1" x14ac:dyDescent="0.15">
      <c r="A20" s="4" t="s">
        <v>26</v>
      </c>
      <c r="B20" s="1">
        <f t="shared" ref="B20:E20" si="28">B9*$H$3</f>
        <v>12162.6</v>
      </c>
      <c r="C20" s="1">
        <f t="shared" si="28"/>
        <v>1935</v>
      </c>
      <c r="D20" s="1">
        <f t="shared" si="28"/>
        <v>1319.4</v>
      </c>
      <c r="E20" s="1">
        <f t="shared" si="28"/>
        <v>203.4</v>
      </c>
      <c r="F20" s="1">
        <v>112</v>
      </c>
      <c r="G20" s="1"/>
      <c r="H20" s="1">
        <f t="shared" si="7"/>
        <v>1216.26</v>
      </c>
      <c r="I20" s="1">
        <f t="shared" si="8"/>
        <v>193.5</v>
      </c>
      <c r="J20" s="1">
        <f t="shared" si="9"/>
        <v>131.94000000000003</v>
      </c>
      <c r="K20" s="1">
        <f t="shared" si="10"/>
        <v>10.170000000000002</v>
      </c>
      <c r="L20" s="1"/>
      <c r="M20" s="1">
        <f t="shared" si="11"/>
        <v>4256.91</v>
      </c>
      <c r="N20" s="1">
        <f t="shared" si="12"/>
        <v>677.25</v>
      </c>
      <c r="O20" s="1">
        <f t="shared" si="13"/>
        <v>659.7</v>
      </c>
      <c r="P20" s="1">
        <f t="shared" si="14"/>
        <v>61.019999999999996</v>
      </c>
      <c r="Q20" s="1"/>
      <c r="R20" s="1">
        <f t="shared" si="15"/>
        <v>4865.04</v>
      </c>
      <c r="S20" s="1">
        <f t="shared" si="16"/>
        <v>870.75</v>
      </c>
      <c r="T20" s="1">
        <f t="shared" si="17"/>
        <v>461.79</v>
      </c>
      <c r="U20" s="1">
        <f t="shared" si="18"/>
        <v>101.7</v>
      </c>
      <c r="V20" s="1"/>
      <c r="W20" s="1">
        <f t="shared" si="19"/>
        <v>1824.39</v>
      </c>
      <c r="X20" s="1">
        <f t="shared" si="20"/>
        <v>193.5</v>
      </c>
      <c r="Y20" s="1">
        <f t="shared" si="21"/>
        <v>65.970000000000013</v>
      </c>
      <c r="Z20" s="1">
        <f t="shared" si="22"/>
        <v>30.509999999999998</v>
      </c>
      <c r="AA20" s="1"/>
      <c r="AB20" s="1" t="s">
        <v>38</v>
      </c>
      <c r="AC20" s="1">
        <v>80</v>
      </c>
      <c r="AD20" s="1"/>
    </row>
    <row r="21" spans="1:30" ht="15.75" customHeight="1" x14ac:dyDescent="0.15">
      <c r="A21" s="4" t="s">
        <v>28</v>
      </c>
      <c r="B21" s="1">
        <f t="shared" ref="B21:E21" si="29">B10*$H$3</f>
        <v>13293</v>
      </c>
      <c r="C21" s="1">
        <f t="shared" si="29"/>
        <v>2323.8000000000002</v>
      </c>
      <c r="D21" s="1">
        <f t="shared" si="29"/>
        <v>1861.2</v>
      </c>
      <c r="E21" s="1">
        <f t="shared" si="29"/>
        <v>189</v>
      </c>
      <c r="F21" s="1">
        <v>130</v>
      </c>
      <c r="G21" s="1"/>
      <c r="H21" s="1">
        <f t="shared" si="7"/>
        <v>1329.3000000000002</v>
      </c>
      <c r="I21" s="1">
        <f t="shared" si="8"/>
        <v>232.38000000000002</v>
      </c>
      <c r="J21" s="1">
        <f t="shared" si="9"/>
        <v>186.12</v>
      </c>
      <c r="K21" s="1">
        <f t="shared" si="10"/>
        <v>9.4500000000000011</v>
      </c>
      <c r="L21" s="1"/>
      <c r="M21" s="1">
        <f t="shared" si="11"/>
        <v>4652.5499999999993</v>
      </c>
      <c r="N21" s="1">
        <f t="shared" si="12"/>
        <v>813.33</v>
      </c>
      <c r="O21" s="1">
        <f t="shared" si="13"/>
        <v>930.6</v>
      </c>
      <c r="P21" s="1">
        <f t="shared" si="14"/>
        <v>56.699999999999996</v>
      </c>
      <c r="Q21" s="1"/>
      <c r="R21" s="1">
        <f t="shared" si="15"/>
        <v>5317.2000000000007</v>
      </c>
      <c r="S21" s="1">
        <f t="shared" si="16"/>
        <v>1045.71</v>
      </c>
      <c r="T21" s="1">
        <f t="shared" si="17"/>
        <v>651.41999999999996</v>
      </c>
      <c r="U21" s="1">
        <f t="shared" si="18"/>
        <v>94.5</v>
      </c>
      <c r="V21" s="1"/>
      <c r="W21" s="1">
        <f t="shared" si="19"/>
        <v>1993.9499999999998</v>
      </c>
      <c r="X21" s="1">
        <f t="shared" si="20"/>
        <v>232.38000000000002</v>
      </c>
      <c r="Y21" s="1">
        <f t="shared" si="21"/>
        <v>93.06</v>
      </c>
      <c r="Z21" s="1">
        <f t="shared" si="22"/>
        <v>28.349999999999998</v>
      </c>
      <c r="AA21" s="1"/>
      <c r="AB21" s="1" t="s">
        <v>39</v>
      </c>
      <c r="AC21" s="1">
        <v>60</v>
      </c>
      <c r="AD21" s="1"/>
    </row>
    <row r="22" spans="1:30" ht="15.75" customHeight="1" x14ac:dyDescent="0.15">
      <c r="A22" s="4" t="s">
        <v>30</v>
      </c>
      <c r="B22" s="1">
        <f t="shared" ref="B22:E22" si="30">B11*$H$3</f>
        <v>12834</v>
      </c>
      <c r="C22" s="1">
        <f t="shared" si="30"/>
        <v>1971</v>
      </c>
      <c r="D22" s="1">
        <f t="shared" si="30"/>
        <v>1450.8</v>
      </c>
      <c r="E22" s="1">
        <f t="shared" si="30"/>
        <v>167.4</v>
      </c>
      <c r="F22" s="1">
        <v>121</v>
      </c>
      <c r="G22" s="1"/>
      <c r="H22" s="1">
        <f t="shared" si="7"/>
        <v>1283.4000000000001</v>
      </c>
      <c r="I22" s="1">
        <f t="shared" si="8"/>
        <v>197.10000000000002</v>
      </c>
      <c r="J22" s="1">
        <f t="shared" si="9"/>
        <v>145.08000000000001</v>
      </c>
      <c r="K22" s="1">
        <f t="shared" si="10"/>
        <v>8.370000000000001</v>
      </c>
      <c r="L22" s="1"/>
      <c r="M22" s="1">
        <f t="shared" si="11"/>
        <v>4491.8999999999996</v>
      </c>
      <c r="N22" s="1">
        <f t="shared" si="12"/>
        <v>689.84999999999991</v>
      </c>
      <c r="O22" s="1">
        <f t="shared" si="13"/>
        <v>725.4</v>
      </c>
      <c r="P22" s="1">
        <f t="shared" si="14"/>
        <v>50.22</v>
      </c>
      <c r="Q22" s="1"/>
      <c r="R22" s="1">
        <f t="shared" si="15"/>
        <v>5133.6000000000004</v>
      </c>
      <c r="S22" s="1">
        <f t="shared" si="16"/>
        <v>886.95</v>
      </c>
      <c r="T22" s="1">
        <f t="shared" si="17"/>
        <v>507.78</v>
      </c>
      <c r="U22" s="1">
        <f t="shared" si="18"/>
        <v>83.7</v>
      </c>
      <c r="V22" s="1"/>
      <c r="W22" s="1">
        <f t="shared" si="19"/>
        <v>1925.1</v>
      </c>
      <c r="X22" s="1">
        <f t="shared" si="20"/>
        <v>197.10000000000002</v>
      </c>
      <c r="Y22" s="1">
        <f t="shared" si="21"/>
        <v>72.540000000000006</v>
      </c>
      <c r="Z22" s="1">
        <f t="shared" si="22"/>
        <v>25.11</v>
      </c>
      <c r="AA22" s="1"/>
      <c r="AB22" s="1"/>
      <c r="AC22" s="2">
        <f>SUM(AC18:AC21)</f>
        <v>275</v>
      </c>
      <c r="AD22" s="1"/>
    </row>
    <row r="23" spans="1:30" ht="15.75" customHeight="1" x14ac:dyDescent="0.15">
      <c r="A23" s="1"/>
      <c r="B23" s="1"/>
      <c r="C23" s="1"/>
      <c r="D23" s="1"/>
      <c r="E23" s="1"/>
      <c r="F23" s="1"/>
      <c r="G23" s="1"/>
      <c r="H23" s="1">
        <v>0.15</v>
      </c>
      <c r="I23" s="1">
        <v>0.1</v>
      </c>
      <c r="J23" s="1">
        <v>0.1</v>
      </c>
      <c r="K23" s="1">
        <v>0.1</v>
      </c>
      <c r="L23" s="1"/>
      <c r="M23" s="1">
        <v>0.35</v>
      </c>
      <c r="N23" s="1">
        <v>0.35</v>
      </c>
      <c r="O23" s="1">
        <v>0.5</v>
      </c>
      <c r="P23" s="1">
        <v>0.3</v>
      </c>
      <c r="Q23" s="1"/>
      <c r="R23" s="1">
        <v>0.4</v>
      </c>
      <c r="S23" s="1">
        <v>0.45</v>
      </c>
      <c r="T23" s="1">
        <v>0.35</v>
      </c>
      <c r="U23" s="1">
        <v>0.5</v>
      </c>
      <c r="V23" s="1"/>
      <c r="W23" s="1">
        <v>0.1</v>
      </c>
      <c r="X23" s="1">
        <v>0.1</v>
      </c>
      <c r="Y23" s="1">
        <v>0.05</v>
      </c>
      <c r="Z23" s="1">
        <v>0.1</v>
      </c>
      <c r="AA23" s="1"/>
      <c r="AB23" s="12" t="s">
        <v>41</v>
      </c>
      <c r="AC23" s="11"/>
      <c r="AD23" s="1"/>
    </row>
    <row r="24" spans="1:30" ht="15.75" customHeight="1" x14ac:dyDescent="0.15">
      <c r="A24" s="9" t="s">
        <v>9</v>
      </c>
      <c r="B24" s="10"/>
      <c r="C24" s="10"/>
      <c r="D24" s="10"/>
      <c r="E24" s="10"/>
      <c r="F24" s="11"/>
      <c r="G24" s="1"/>
      <c r="H24" s="9" t="s">
        <v>42</v>
      </c>
      <c r="I24" s="10"/>
      <c r="J24" s="10"/>
      <c r="K24" s="11"/>
      <c r="L24" s="1"/>
      <c r="M24" s="9" t="s">
        <v>43</v>
      </c>
      <c r="N24" s="10"/>
      <c r="O24" s="10"/>
      <c r="P24" s="11"/>
      <c r="Q24" s="1"/>
      <c r="R24" s="9" t="s">
        <v>44</v>
      </c>
      <c r="S24" s="10"/>
      <c r="T24" s="10"/>
      <c r="U24" s="11"/>
      <c r="V24" s="1"/>
      <c r="W24" s="9" t="s">
        <v>35</v>
      </c>
      <c r="X24" s="10"/>
      <c r="Y24" s="10"/>
      <c r="Z24" s="11"/>
      <c r="AA24" s="1"/>
      <c r="AB24" s="1" t="s">
        <v>36</v>
      </c>
      <c r="AC24" s="1">
        <v>60</v>
      </c>
      <c r="AD24" s="1"/>
    </row>
    <row r="25" spans="1:30" ht="15.75" customHeight="1" x14ac:dyDescent="0.15">
      <c r="A25" s="3" t="s">
        <v>2</v>
      </c>
      <c r="B25" s="3" t="s">
        <v>3</v>
      </c>
      <c r="C25" s="3" t="s">
        <v>4</v>
      </c>
      <c r="D25" s="3" t="s">
        <v>5</v>
      </c>
      <c r="E25" s="3" t="s">
        <v>6</v>
      </c>
      <c r="F25" s="3" t="s">
        <v>7</v>
      </c>
      <c r="G25" s="1"/>
      <c r="H25" s="3" t="s">
        <v>3</v>
      </c>
      <c r="I25" s="3" t="s">
        <v>4</v>
      </c>
      <c r="J25" s="3" t="s">
        <v>5</v>
      </c>
      <c r="K25" s="3" t="s">
        <v>6</v>
      </c>
      <c r="L25" s="1"/>
      <c r="M25" s="3" t="s">
        <v>3</v>
      </c>
      <c r="N25" s="3" t="s">
        <v>4</v>
      </c>
      <c r="O25" s="3" t="s">
        <v>5</v>
      </c>
      <c r="P25" s="3" t="s">
        <v>6</v>
      </c>
      <c r="Q25" s="1"/>
      <c r="R25" s="3" t="s">
        <v>3</v>
      </c>
      <c r="S25" s="3" t="s">
        <v>4</v>
      </c>
      <c r="T25" s="3" t="s">
        <v>5</v>
      </c>
      <c r="U25" s="3" t="s">
        <v>6</v>
      </c>
      <c r="V25" s="1"/>
      <c r="W25" s="3" t="s">
        <v>3</v>
      </c>
      <c r="X25" s="3" t="s">
        <v>4</v>
      </c>
      <c r="Y25" s="3" t="s">
        <v>5</v>
      </c>
      <c r="Z25" s="3" t="s">
        <v>6</v>
      </c>
      <c r="AA25" s="1"/>
      <c r="AB25" s="1" t="s">
        <v>37</v>
      </c>
      <c r="AC25" s="1">
        <v>80</v>
      </c>
      <c r="AD25" s="1"/>
    </row>
    <row r="26" spans="1:30" ht="15.75" customHeight="1" x14ac:dyDescent="0.15">
      <c r="A26" s="4" t="s">
        <v>14</v>
      </c>
      <c r="B26" s="1">
        <f t="shared" ref="B26:E26" si="31">B3*$I$3</f>
        <v>12377.2</v>
      </c>
      <c r="C26" s="1">
        <f t="shared" si="31"/>
        <v>860.2</v>
      </c>
      <c r="D26" s="1">
        <f t="shared" si="31"/>
        <v>220.00000000000003</v>
      </c>
      <c r="E26" s="1">
        <f t="shared" si="31"/>
        <v>68.2</v>
      </c>
      <c r="F26" s="1">
        <v>85</v>
      </c>
      <c r="G26" s="1"/>
      <c r="H26" s="1">
        <f t="shared" ref="H26:H34" si="32">B26*$H$23</f>
        <v>1856.58</v>
      </c>
      <c r="I26" s="1">
        <f t="shared" ref="I26:I34" si="33">C26*$I$23</f>
        <v>86.02000000000001</v>
      </c>
      <c r="J26" s="1">
        <f t="shared" ref="J26:J34" si="34">D26*$J$23</f>
        <v>22.000000000000004</v>
      </c>
      <c r="K26" s="1">
        <f t="shared" ref="K26:K34" si="35">E26*$K$23</f>
        <v>6.82</v>
      </c>
      <c r="L26" s="1"/>
      <c r="M26" s="1">
        <f t="shared" ref="M26:M34" si="36">B26*$M$23</f>
        <v>4332.0199999999995</v>
      </c>
      <c r="N26" s="1">
        <f t="shared" ref="N26:N34" si="37">C26*$N$23</f>
        <v>301.07</v>
      </c>
      <c r="O26" s="1">
        <f t="shared" ref="O26:O34" si="38">D26*$O$23</f>
        <v>110.00000000000001</v>
      </c>
      <c r="P26" s="1">
        <f t="shared" ref="P26:P34" si="39">E26*$P$23</f>
        <v>20.46</v>
      </c>
      <c r="Q26" s="1"/>
      <c r="R26" s="1">
        <f t="shared" ref="R26:R34" si="40">B26*$R$23</f>
        <v>4950.880000000001</v>
      </c>
      <c r="S26" s="1">
        <f t="shared" ref="S26:S34" si="41">C26*$S$23</f>
        <v>387.09000000000003</v>
      </c>
      <c r="T26" s="1">
        <f t="shared" ref="T26:T34" si="42">D26*$T$23</f>
        <v>77</v>
      </c>
      <c r="U26" s="1">
        <f t="shared" ref="U26:U34" si="43">E26*$U$23</f>
        <v>34.1</v>
      </c>
      <c r="V26" s="1"/>
      <c r="W26" s="1">
        <f t="shared" ref="W26:W34" si="44">B26*$W$23</f>
        <v>1237.7200000000003</v>
      </c>
      <c r="X26" s="1">
        <f t="shared" ref="X26:X34" si="45">C26*$X$23</f>
        <v>86.02000000000001</v>
      </c>
      <c r="Y26" s="1">
        <f t="shared" ref="Y26:Y34" si="46">D26*$Y$23</f>
        <v>11.000000000000002</v>
      </c>
      <c r="Z26" s="1">
        <f t="shared" ref="Z26:Z34" si="47">E26*$Z$23</f>
        <v>6.82</v>
      </c>
      <c r="AA26" s="1"/>
      <c r="AB26" s="1" t="s">
        <v>38</v>
      </c>
      <c r="AC26" s="1">
        <v>85</v>
      </c>
      <c r="AD26" s="1"/>
    </row>
    <row r="27" spans="1:30" ht="15.75" customHeight="1" x14ac:dyDescent="0.15">
      <c r="A27" s="4" t="s">
        <v>15</v>
      </c>
      <c r="B27" s="1">
        <f t="shared" ref="B27:E27" si="48">B4*$I$3</f>
        <v>12071.400000000001</v>
      </c>
      <c r="C27" s="1">
        <f t="shared" si="48"/>
        <v>800.80000000000007</v>
      </c>
      <c r="D27" s="1">
        <f t="shared" si="48"/>
        <v>308</v>
      </c>
      <c r="E27" s="1">
        <f t="shared" si="48"/>
        <v>66</v>
      </c>
      <c r="F27" s="1">
        <v>81</v>
      </c>
      <c r="G27" s="1"/>
      <c r="H27" s="1">
        <f t="shared" si="32"/>
        <v>1810.7100000000003</v>
      </c>
      <c r="I27" s="1">
        <f t="shared" si="33"/>
        <v>80.080000000000013</v>
      </c>
      <c r="J27" s="1">
        <f t="shared" si="34"/>
        <v>30.8</v>
      </c>
      <c r="K27" s="1">
        <f t="shared" si="35"/>
        <v>6.6000000000000005</v>
      </c>
      <c r="L27" s="1"/>
      <c r="M27" s="1">
        <f t="shared" si="36"/>
        <v>4224.9900000000007</v>
      </c>
      <c r="N27" s="1">
        <f t="shared" si="37"/>
        <v>280.28000000000003</v>
      </c>
      <c r="O27" s="1">
        <f t="shared" si="38"/>
        <v>154</v>
      </c>
      <c r="P27" s="1">
        <f t="shared" si="39"/>
        <v>19.8</v>
      </c>
      <c r="Q27" s="1"/>
      <c r="R27" s="1">
        <f t="shared" si="40"/>
        <v>4828.5600000000004</v>
      </c>
      <c r="S27" s="1">
        <f t="shared" si="41"/>
        <v>360.36</v>
      </c>
      <c r="T27" s="1">
        <f t="shared" si="42"/>
        <v>107.8</v>
      </c>
      <c r="U27" s="1">
        <f t="shared" si="43"/>
        <v>33</v>
      </c>
      <c r="V27" s="1"/>
      <c r="W27" s="1">
        <f t="shared" si="44"/>
        <v>1207.1400000000001</v>
      </c>
      <c r="X27" s="1">
        <f t="shared" si="45"/>
        <v>80.080000000000013</v>
      </c>
      <c r="Y27" s="1">
        <f t="shared" si="46"/>
        <v>15.4</v>
      </c>
      <c r="Z27" s="1">
        <f t="shared" si="47"/>
        <v>6.6000000000000005</v>
      </c>
      <c r="AA27" s="1"/>
      <c r="AB27" s="1" t="s">
        <v>45</v>
      </c>
      <c r="AC27" s="1">
        <v>70</v>
      </c>
      <c r="AD27" s="1"/>
    </row>
    <row r="28" spans="1:30" ht="15.75" customHeight="1" x14ac:dyDescent="0.15">
      <c r="A28" s="4" t="s">
        <v>18</v>
      </c>
      <c r="B28" s="1">
        <f t="shared" ref="B28:E28" si="49">B5*$I$3</f>
        <v>13879.800000000001</v>
      </c>
      <c r="C28" s="1">
        <f t="shared" si="49"/>
        <v>1238.6000000000001</v>
      </c>
      <c r="D28" s="1">
        <f t="shared" si="49"/>
        <v>624.80000000000007</v>
      </c>
      <c r="E28" s="1">
        <f t="shared" si="49"/>
        <v>116.60000000000001</v>
      </c>
      <c r="F28" s="1">
        <v>103</v>
      </c>
      <c r="G28" s="1"/>
      <c r="H28" s="1">
        <f t="shared" si="32"/>
        <v>2081.9700000000003</v>
      </c>
      <c r="I28" s="1">
        <f t="shared" si="33"/>
        <v>123.86000000000001</v>
      </c>
      <c r="J28" s="1">
        <f t="shared" si="34"/>
        <v>62.480000000000011</v>
      </c>
      <c r="K28" s="1">
        <f t="shared" si="35"/>
        <v>11.660000000000002</v>
      </c>
      <c r="L28" s="1"/>
      <c r="M28" s="1">
        <f t="shared" si="36"/>
        <v>4857.93</v>
      </c>
      <c r="N28" s="1">
        <f t="shared" si="37"/>
        <v>433.51000000000005</v>
      </c>
      <c r="O28" s="1">
        <f t="shared" si="38"/>
        <v>312.40000000000003</v>
      </c>
      <c r="P28" s="1">
        <f t="shared" si="39"/>
        <v>34.980000000000004</v>
      </c>
      <c r="Q28" s="1"/>
      <c r="R28" s="1">
        <f t="shared" si="40"/>
        <v>5551.920000000001</v>
      </c>
      <c r="S28" s="1">
        <f t="shared" si="41"/>
        <v>557.37000000000012</v>
      </c>
      <c r="T28" s="1">
        <f t="shared" si="42"/>
        <v>218.68</v>
      </c>
      <c r="U28" s="1">
        <f t="shared" si="43"/>
        <v>58.300000000000004</v>
      </c>
      <c r="V28" s="1"/>
      <c r="W28" s="1">
        <f t="shared" si="44"/>
        <v>1387.9800000000002</v>
      </c>
      <c r="X28" s="1">
        <f t="shared" si="45"/>
        <v>123.86000000000001</v>
      </c>
      <c r="Y28" s="1">
        <f t="shared" si="46"/>
        <v>31.240000000000006</v>
      </c>
      <c r="Z28" s="1">
        <f t="shared" si="47"/>
        <v>11.660000000000002</v>
      </c>
      <c r="AA28" s="1"/>
      <c r="AB28" s="1"/>
      <c r="AC28" s="2">
        <f>SUM(AC24:AC27)</f>
        <v>295</v>
      </c>
      <c r="AD28" s="1"/>
    </row>
    <row r="29" spans="1:30" ht="15.75" customHeight="1" x14ac:dyDescent="0.15">
      <c r="A29" s="4" t="s">
        <v>20</v>
      </c>
      <c r="B29" s="1">
        <f t="shared" ref="B29:E29" si="50">B6*$I$3</f>
        <v>14077.800000000001</v>
      </c>
      <c r="C29" s="1">
        <f t="shared" si="50"/>
        <v>1535.6000000000001</v>
      </c>
      <c r="D29" s="1">
        <f t="shared" si="50"/>
        <v>783.2</v>
      </c>
      <c r="E29" s="1">
        <f t="shared" si="50"/>
        <v>156.20000000000002</v>
      </c>
      <c r="F29" s="1">
        <v>106</v>
      </c>
      <c r="G29" s="1"/>
      <c r="H29" s="1">
        <f t="shared" si="32"/>
        <v>2111.67</v>
      </c>
      <c r="I29" s="1">
        <f t="shared" si="33"/>
        <v>153.56000000000003</v>
      </c>
      <c r="J29" s="1">
        <f t="shared" si="34"/>
        <v>78.320000000000007</v>
      </c>
      <c r="K29" s="1">
        <f t="shared" si="35"/>
        <v>15.620000000000003</v>
      </c>
      <c r="L29" s="1"/>
      <c r="M29" s="1">
        <f t="shared" si="36"/>
        <v>4927.2300000000005</v>
      </c>
      <c r="N29" s="1">
        <f t="shared" si="37"/>
        <v>537.46</v>
      </c>
      <c r="O29" s="1">
        <f t="shared" si="38"/>
        <v>391.6</v>
      </c>
      <c r="P29" s="1">
        <f t="shared" si="39"/>
        <v>46.860000000000007</v>
      </c>
      <c r="Q29" s="1"/>
      <c r="R29" s="1">
        <f t="shared" si="40"/>
        <v>5631.1200000000008</v>
      </c>
      <c r="S29" s="1">
        <f t="shared" si="41"/>
        <v>691.0200000000001</v>
      </c>
      <c r="T29" s="1">
        <f t="shared" si="42"/>
        <v>274.12</v>
      </c>
      <c r="U29" s="1">
        <f t="shared" si="43"/>
        <v>78.100000000000009</v>
      </c>
      <c r="V29" s="1"/>
      <c r="W29" s="1">
        <f t="shared" si="44"/>
        <v>1407.7800000000002</v>
      </c>
      <c r="X29" s="1">
        <f t="shared" si="45"/>
        <v>153.56000000000003</v>
      </c>
      <c r="Y29" s="1">
        <f t="shared" si="46"/>
        <v>39.160000000000004</v>
      </c>
      <c r="Z29" s="1">
        <f t="shared" si="47"/>
        <v>15.620000000000003</v>
      </c>
      <c r="AA29" s="1"/>
      <c r="AB29" s="12" t="s">
        <v>46</v>
      </c>
      <c r="AC29" s="11"/>
      <c r="AD29" s="1"/>
    </row>
    <row r="30" spans="1:30" ht="15.75" customHeight="1" x14ac:dyDescent="0.15">
      <c r="A30" s="4" t="s">
        <v>22</v>
      </c>
      <c r="B30" s="1">
        <f t="shared" ref="B30:E30" si="51">B7*$I$3</f>
        <v>14264.800000000001</v>
      </c>
      <c r="C30" s="1">
        <f t="shared" si="51"/>
        <v>2624.6000000000004</v>
      </c>
      <c r="D30" s="1">
        <f t="shared" si="51"/>
        <v>1801.8000000000002</v>
      </c>
      <c r="E30" s="1">
        <f t="shared" si="51"/>
        <v>224.4</v>
      </c>
      <c r="F30" s="1">
        <v>106</v>
      </c>
      <c r="G30" s="1"/>
      <c r="H30" s="1">
        <f t="shared" si="32"/>
        <v>2139.7200000000003</v>
      </c>
      <c r="I30" s="1">
        <f t="shared" si="33"/>
        <v>262.46000000000004</v>
      </c>
      <c r="J30" s="1">
        <f t="shared" si="34"/>
        <v>180.18000000000004</v>
      </c>
      <c r="K30" s="1">
        <f t="shared" si="35"/>
        <v>22.44</v>
      </c>
      <c r="L30" s="1"/>
      <c r="M30" s="1">
        <f t="shared" si="36"/>
        <v>4992.68</v>
      </c>
      <c r="N30" s="1">
        <f t="shared" si="37"/>
        <v>918.61</v>
      </c>
      <c r="O30" s="1">
        <f t="shared" si="38"/>
        <v>900.90000000000009</v>
      </c>
      <c r="P30" s="1">
        <f t="shared" si="39"/>
        <v>67.319999999999993</v>
      </c>
      <c r="Q30" s="1"/>
      <c r="R30" s="1">
        <f t="shared" si="40"/>
        <v>5705.920000000001</v>
      </c>
      <c r="S30" s="1">
        <f t="shared" si="41"/>
        <v>1181.0700000000002</v>
      </c>
      <c r="T30" s="1">
        <f t="shared" si="42"/>
        <v>630.63</v>
      </c>
      <c r="U30" s="1">
        <f t="shared" si="43"/>
        <v>112.2</v>
      </c>
      <c r="V30" s="1"/>
      <c r="W30" s="1">
        <f t="shared" si="44"/>
        <v>1426.4800000000002</v>
      </c>
      <c r="X30" s="1">
        <f t="shared" si="45"/>
        <v>262.46000000000004</v>
      </c>
      <c r="Y30" s="1">
        <f t="shared" si="46"/>
        <v>90.090000000000018</v>
      </c>
      <c r="Z30" s="1">
        <f t="shared" si="47"/>
        <v>22.44</v>
      </c>
      <c r="AA30" s="1"/>
      <c r="AB30" s="1" t="s">
        <v>36</v>
      </c>
      <c r="AC30" s="1">
        <v>45</v>
      </c>
      <c r="AD30" s="1"/>
    </row>
    <row r="31" spans="1:30" ht="15.75" customHeight="1" x14ac:dyDescent="0.15">
      <c r="A31" s="4" t="s">
        <v>24</v>
      </c>
      <c r="B31" s="1">
        <f t="shared" ref="B31:E31" si="52">B8*$I$3</f>
        <v>13323.2</v>
      </c>
      <c r="C31" s="1">
        <f t="shared" si="52"/>
        <v>1454.2</v>
      </c>
      <c r="D31" s="1">
        <f t="shared" si="52"/>
        <v>591.80000000000007</v>
      </c>
      <c r="E31" s="1">
        <f t="shared" si="52"/>
        <v>191.4</v>
      </c>
      <c r="F31" s="1">
        <v>95</v>
      </c>
      <c r="G31" s="1"/>
      <c r="H31" s="1">
        <f t="shared" si="32"/>
        <v>1998.48</v>
      </c>
      <c r="I31" s="1">
        <f t="shared" si="33"/>
        <v>145.42000000000002</v>
      </c>
      <c r="J31" s="1">
        <f t="shared" si="34"/>
        <v>59.180000000000007</v>
      </c>
      <c r="K31" s="1">
        <f t="shared" si="35"/>
        <v>19.14</v>
      </c>
      <c r="L31" s="1"/>
      <c r="M31" s="1">
        <f t="shared" si="36"/>
        <v>4663.12</v>
      </c>
      <c r="N31" s="1">
        <f t="shared" si="37"/>
        <v>508.96999999999997</v>
      </c>
      <c r="O31" s="1">
        <f t="shared" si="38"/>
        <v>295.90000000000003</v>
      </c>
      <c r="P31" s="1">
        <f t="shared" si="39"/>
        <v>57.42</v>
      </c>
      <c r="Q31" s="1"/>
      <c r="R31" s="1">
        <f t="shared" si="40"/>
        <v>5329.2800000000007</v>
      </c>
      <c r="S31" s="1">
        <f t="shared" si="41"/>
        <v>654.39</v>
      </c>
      <c r="T31" s="1">
        <f t="shared" si="42"/>
        <v>207.13000000000002</v>
      </c>
      <c r="U31" s="1">
        <f t="shared" si="43"/>
        <v>95.7</v>
      </c>
      <c r="V31" s="1"/>
      <c r="W31" s="1">
        <f t="shared" si="44"/>
        <v>1332.3200000000002</v>
      </c>
      <c r="X31" s="1">
        <f t="shared" si="45"/>
        <v>145.42000000000002</v>
      </c>
      <c r="Y31" s="1">
        <f t="shared" si="46"/>
        <v>29.590000000000003</v>
      </c>
      <c r="Z31" s="1">
        <f t="shared" si="47"/>
        <v>19.14</v>
      </c>
      <c r="AA31" s="1"/>
      <c r="AB31" s="1" t="s">
        <v>37</v>
      </c>
      <c r="AC31" s="1">
        <v>80</v>
      </c>
      <c r="AD31" s="1"/>
    </row>
    <row r="32" spans="1:30" ht="15.75" customHeight="1" x14ac:dyDescent="0.15">
      <c r="A32" s="4" t="s">
        <v>26</v>
      </c>
      <c r="B32" s="1">
        <f t="shared" ref="B32:E32" si="53">B9*$I$3</f>
        <v>14865.400000000001</v>
      </c>
      <c r="C32" s="1">
        <f t="shared" si="53"/>
        <v>2365</v>
      </c>
      <c r="D32" s="1">
        <f t="shared" si="53"/>
        <v>1612.6000000000001</v>
      </c>
      <c r="E32" s="1">
        <f t="shared" si="53"/>
        <v>248.60000000000002</v>
      </c>
      <c r="F32" s="1">
        <v>112</v>
      </c>
      <c r="G32" s="1"/>
      <c r="H32" s="1">
        <f t="shared" si="32"/>
        <v>2229.81</v>
      </c>
      <c r="I32" s="1">
        <f t="shared" si="33"/>
        <v>236.5</v>
      </c>
      <c r="J32" s="1">
        <f t="shared" si="34"/>
        <v>161.26000000000002</v>
      </c>
      <c r="K32" s="1">
        <f t="shared" si="35"/>
        <v>24.860000000000003</v>
      </c>
      <c r="L32" s="1"/>
      <c r="M32" s="1">
        <f t="shared" si="36"/>
        <v>5202.8900000000003</v>
      </c>
      <c r="N32" s="1">
        <f t="shared" si="37"/>
        <v>827.75</v>
      </c>
      <c r="O32" s="1">
        <f t="shared" si="38"/>
        <v>806.30000000000007</v>
      </c>
      <c r="P32" s="1">
        <f t="shared" si="39"/>
        <v>74.58</v>
      </c>
      <c r="Q32" s="1"/>
      <c r="R32" s="1">
        <f t="shared" si="40"/>
        <v>5946.1600000000008</v>
      </c>
      <c r="S32" s="1">
        <f t="shared" si="41"/>
        <v>1064.25</v>
      </c>
      <c r="T32" s="1">
        <f t="shared" si="42"/>
        <v>564.41</v>
      </c>
      <c r="U32" s="1">
        <f t="shared" si="43"/>
        <v>124.30000000000001</v>
      </c>
      <c r="V32" s="1"/>
      <c r="W32" s="1">
        <f t="shared" si="44"/>
        <v>1486.5400000000002</v>
      </c>
      <c r="X32" s="1">
        <f t="shared" si="45"/>
        <v>236.5</v>
      </c>
      <c r="Y32" s="1">
        <f t="shared" si="46"/>
        <v>80.63000000000001</v>
      </c>
      <c r="Z32" s="1">
        <f t="shared" si="47"/>
        <v>24.860000000000003</v>
      </c>
      <c r="AA32" s="1"/>
      <c r="AB32" s="1" t="s">
        <v>38</v>
      </c>
      <c r="AC32" s="1">
        <v>85</v>
      </c>
      <c r="AD32" s="1"/>
    </row>
    <row r="33" spans="1:30" ht="15.75" customHeight="1" x14ac:dyDescent="0.15">
      <c r="A33" s="4" t="s">
        <v>28</v>
      </c>
      <c r="B33" s="1">
        <f t="shared" ref="B33:E33" si="54">B10*$I$3</f>
        <v>16247.000000000002</v>
      </c>
      <c r="C33" s="1">
        <f t="shared" si="54"/>
        <v>2840.2000000000003</v>
      </c>
      <c r="D33" s="1">
        <f t="shared" si="54"/>
        <v>2274.8000000000002</v>
      </c>
      <c r="E33" s="1">
        <f t="shared" si="54"/>
        <v>231.00000000000003</v>
      </c>
      <c r="F33" s="1">
        <v>130</v>
      </c>
      <c r="G33" s="1"/>
      <c r="H33" s="1">
        <f t="shared" si="32"/>
        <v>2437.0500000000002</v>
      </c>
      <c r="I33" s="1">
        <f t="shared" si="33"/>
        <v>284.02000000000004</v>
      </c>
      <c r="J33" s="1">
        <f t="shared" si="34"/>
        <v>227.48000000000002</v>
      </c>
      <c r="K33" s="1">
        <f t="shared" si="35"/>
        <v>23.100000000000005</v>
      </c>
      <c r="L33" s="1"/>
      <c r="M33" s="1">
        <f t="shared" si="36"/>
        <v>5686.4500000000007</v>
      </c>
      <c r="N33" s="1">
        <f t="shared" si="37"/>
        <v>994.07</v>
      </c>
      <c r="O33" s="1">
        <f t="shared" si="38"/>
        <v>1137.4000000000001</v>
      </c>
      <c r="P33" s="1">
        <f t="shared" si="39"/>
        <v>69.300000000000011</v>
      </c>
      <c r="Q33" s="1"/>
      <c r="R33" s="1">
        <f t="shared" si="40"/>
        <v>6498.8000000000011</v>
      </c>
      <c r="S33" s="1">
        <f t="shared" si="41"/>
        <v>1278.0900000000001</v>
      </c>
      <c r="T33" s="1">
        <f t="shared" si="42"/>
        <v>796.18000000000006</v>
      </c>
      <c r="U33" s="1">
        <f t="shared" si="43"/>
        <v>115.50000000000001</v>
      </c>
      <c r="V33" s="1"/>
      <c r="W33" s="1">
        <f t="shared" si="44"/>
        <v>1624.7000000000003</v>
      </c>
      <c r="X33" s="1">
        <f t="shared" si="45"/>
        <v>284.02000000000004</v>
      </c>
      <c r="Y33" s="1">
        <f t="shared" si="46"/>
        <v>113.74000000000001</v>
      </c>
      <c r="Z33" s="1">
        <f t="shared" si="47"/>
        <v>23.100000000000005</v>
      </c>
      <c r="AA33" s="1"/>
      <c r="AB33" s="1" t="s">
        <v>45</v>
      </c>
      <c r="AC33" s="1">
        <v>60</v>
      </c>
      <c r="AD33" s="1"/>
    </row>
    <row r="34" spans="1:30" ht="15.75" customHeight="1" x14ac:dyDescent="0.15">
      <c r="A34" s="4" t="s">
        <v>30</v>
      </c>
      <c r="B34" s="1">
        <f t="shared" ref="B34:E34" si="55">B11*$I$3</f>
        <v>15686.000000000002</v>
      </c>
      <c r="C34" s="1">
        <f t="shared" si="55"/>
        <v>2409</v>
      </c>
      <c r="D34" s="1">
        <f t="shared" si="55"/>
        <v>1773.2</v>
      </c>
      <c r="E34" s="1">
        <f t="shared" si="55"/>
        <v>204.60000000000002</v>
      </c>
      <c r="F34" s="1">
        <v>121</v>
      </c>
      <c r="G34" s="1"/>
      <c r="H34" s="1">
        <f t="shared" si="32"/>
        <v>2352.9</v>
      </c>
      <c r="I34" s="1">
        <f t="shared" si="33"/>
        <v>240.9</v>
      </c>
      <c r="J34" s="1">
        <f t="shared" si="34"/>
        <v>177.32000000000002</v>
      </c>
      <c r="K34" s="1">
        <f t="shared" si="35"/>
        <v>20.460000000000004</v>
      </c>
      <c r="L34" s="1"/>
      <c r="M34" s="1">
        <f t="shared" si="36"/>
        <v>5490.1</v>
      </c>
      <c r="N34" s="1">
        <f t="shared" si="37"/>
        <v>843.15</v>
      </c>
      <c r="O34" s="1">
        <f t="shared" si="38"/>
        <v>886.6</v>
      </c>
      <c r="P34" s="1">
        <f t="shared" si="39"/>
        <v>61.38</v>
      </c>
      <c r="Q34" s="1"/>
      <c r="R34" s="1">
        <f t="shared" si="40"/>
        <v>6274.4000000000015</v>
      </c>
      <c r="S34" s="1">
        <f t="shared" si="41"/>
        <v>1084.05</v>
      </c>
      <c r="T34" s="1">
        <f t="shared" si="42"/>
        <v>620.62</v>
      </c>
      <c r="U34" s="1">
        <f t="shared" si="43"/>
        <v>102.30000000000001</v>
      </c>
      <c r="V34" s="1"/>
      <c r="W34" s="1">
        <f t="shared" si="44"/>
        <v>1568.6000000000004</v>
      </c>
      <c r="X34" s="1">
        <f t="shared" si="45"/>
        <v>240.9</v>
      </c>
      <c r="Y34" s="1">
        <f t="shared" si="46"/>
        <v>88.660000000000011</v>
      </c>
      <c r="Z34" s="1">
        <f t="shared" si="47"/>
        <v>20.460000000000004</v>
      </c>
      <c r="AA34" s="1"/>
      <c r="AB34" s="1"/>
      <c r="AC34" s="2">
        <f>SUM(AC30:AC33)</f>
        <v>270</v>
      </c>
      <c r="AD34" s="1"/>
    </row>
    <row r="35" spans="1:30" ht="15.75" customHeight="1" x14ac:dyDescent="0.15">
      <c r="A35" s="2"/>
      <c r="B35" s="2"/>
      <c r="C35" s="2"/>
      <c r="D35" s="2"/>
      <c r="E35" s="2"/>
      <c r="F35" s="2"/>
      <c r="G35" s="1"/>
      <c r="H35" s="1">
        <v>0.1</v>
      </c>
      <c r="I35" s="1">
        <v>0.1</v>
      </c>
      <c r="J35" s="1">
        <v>0.1</v>
      </c>
      <c r="K35" s="1">
        <v>0.1</v>
      </c>
      <c r="L35" s="1"/>
      <c r="M35" s="1">
        <v>0.3</v>
      </c>
      <c r="N35" s="1">
        <v>0.3</v>
      </c>
      <c r="O35" s="1">
        <v>0.3</v>
      </c>
      <c r="P35" s="1">
        <v>0.25</v>
      </c>
      <c r="Q35" s="1"/>
      <c r="R35" s="1">
        <v>0.3</v>
      </c>
      <c r="S35" s="1">
        <v>0.35</v>
      </c>
      <c r="T35" s="1">
        <v>0.4</v>
      </c>
      <c r="U35" s="1">
        <v>0.35</v>
      </c>
      <c r="V35" s="1"/>
      <c r="W35" s="1">
        <v>0.3</v>
      </c>
      <c r="X35" s="1">
        <v>0.25</v>
      </c>
      <c r="Y35" s="1">
        <v>0.2</v>
      </c>
      <c r="Z35" s="1">
        <v>0.3</v>
      </c>
      <c r="AA35" s="1"/>
      <c r="AB35" s="12" t="s">
        <v>47</v>
      </c>
      <c r="AC35" s="11"/>
      <c r="AD35" s="1"/>
    </row>
    <row r="36" spans="1:30" ht="15.75" customHeight="1" x14ac:dyDescent="0.15">
      <c r="A36" s="9" t="s">
        <v>10</v>
      </c>
      <c r="B36" s="10"/>
      <c r="C36" s="10"/>
      <c r="D36" s="10"/>
      <c r="E36" s="10"/>
      <c r="F36" s="11"/>
      <c r="G36" s="1"/>
      <c r="H36" s="9" t="s">
        <v>42</v>
      </c>
      <c r="I36" s="10"/>
      <c r="J36" s="10"/>
      <c r="K36" s="11"/>
      <c r="L36" s="1"/>
      <c r="M36" s="9" t="s">
        <v>43</v>
      </c>
      <c r="N36" s="10"/>
      <c r="O36" s="10"/>
      <c r="P36" s="11"/>
      <c r="Q36" s="1"/>
      <c r="R36" s="9" t="s">
        <v>44</v>
      </c>
      <c r="S36" s="10"/>
      <c r="T36" s="10"/>
      <c r="U36" s="11"/>
      <c r="V36" s="1"/>
      <c r="W36" s="9" t="s">
        <v>48</v>
      </c>
      <c r="X36" s="10"/>
      <c r="Y36" s="10"/>
      <c r="Z36" s="11"/>
      <c r="AA36" s="1"/>
      <c r="AB36" s="1" t="s">
        <v>36</v>
      </c>
      <c r="AC36" s="1">
        <v>60</v>
      </c>
      <c r="AD36" s="1"/>
    </row>
    <row r="37" spans="1:30" ht="15.75" customHeight="1" x14ac:dyDescent="0.15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1"/>
      <c r="H37" s="3" t="s">
        <v>3</v>
      </c>
      <c r="I37" s="3" t="s">
        <v>4</v>
      </c>
      <c r="J37" s="3" t="s">
        <v>5</v>
      </c>
      <c r="K37" s="3" t="s">
        <v>6</v>
      </c>
      <c r="L37" s="1"/>
      <c r="M37" s="3" t="s">
        <v>3</v>
      </c>
      <c r="N37" s="3" t="s">
        <v>4</v>
      </c>
      <c r="O37" s="3" t="s">
        <v>5</v>
      </c>
      <c r="P37" s="3" t="s">
        <v>6</v>
      </c>
      <c r="Q37" s="1"/>
      <c r="R37" s="3" t="s">
        <v>3</v>
      </c>
      <c r="S37" s="3" t="s">
        <v>4</v>
      </c>
      <c r="T37" s="3" t="s">
        <v>5</v>
      </c>
      <c r="U37" s="3" t="s">
        <v>6</v>
      </c>
      <c r="V37" s="1"/>
      <c r="W37" s="3" t="s">
        <v>3</v>
      </c>
      <c r="X37" s="3" t="s">
        <v>4</v>
      </c>
      <c r="Y37" s="3" t="s">
        <v>5</v>
      </c>
      <c r="Z37" s="3" t="s">
        <v>6</v>
      </c>
      <c r="AA37" s="1"/>
      <c r="AB37" s="1" t="s">
        <v>37</v>
      </c>
      <c r="AC37" s="1">
        <v>85</v>
      </c>
      <c r="AD37" s="1"/>
    </row>
    <row r="38" spans="1:30" ht="15.75" customHeight="1" x14ac:dyDescent="0.15">
      <c r="A38" s="4" t="s">
        <v>14</v>
      </c>
      <c r="B38" s="1">
        <f t="shared" ref="B38:E38" si="56">B3*$J$3</f>
        <v>14627.6</v>
      </c>
      <c r="C38" s="1">
        <f t="shared" si="56"/>
        <v>1016.6</v>
      </c>
      <c r="D38" s="1">
        <f t="shared" si="56"/>
        <v>260</v>
      </c>
      <c r="E38" s="1">
        <f t="shared" si="56"/>
        <v>80.600000000000009</v>
      </c>
      <c r="F38" s="1">
        <v>85</v>
      </c>
      <c r="G38" s="1"/>
      <c r="H38" s="1">
        <f t="shared" ref="H38:H46" si="57">B38*$H$35</f>
        <v>1462.7600000000002</v>
      </c>
      <c r="I38" s="1">
        <f t="shared" ref="I38:I46" si="58">C38*$I$35</f>
        <v>101.66000000000001</v>
      </c>
      <c r="J38" s="1">
        <f t="shared" ref="J38:J46" si="59">D38*$J$35</f>
        <v>26</v>
      </c>
      <c r="K38" s="1">
        <f t="shared" ref="K38:K46" si="60">E38*$K$35</f>
        <v>8.06</v>
      </c>
      <c r="L38" s="1"/>
      <c r="M38" s="1">
        <f t="shared" ref="M38:M46" si="61">B38*$M$35</f>
        <v>4388.28</v>
      </c>
      <c r="N38" s="1">
        <f t="shared" ref="N38:N46" si="62">C38*$N$35</f>
        <v>304.98</v>
      </c>
      <c r="O38" s="1">
        <f t="shared" ref="O38:O46" si="63">D38*$O$35</f>
        <v>78</v>
      </c>
      <c r="P38" s="1">
        <f t="shared" ref="P38:P46" si="64">E38*$P$35</f>
        <v>20.150000000000002</v>
      </c>
      <c r="Q38" s="1"/>
      <c r="R38" s="1">
        <f t="shared" ref="R38:R46" si="65">B38*$R$35</f>
        <v>4388.28</v>
      </c>
      <c r="S38" s="1">
        <f t="shared" ref="S38:S46" si="66">C38*$S$35</f>
        <v>355.81</v>
      </c>
      <c r="T38" s="1">
        <f t="shared" ref="T38:T46" si="67">D38*$T$35</f>
        <v>104</v>
      </c>
      <c r="U38" s="1">
        <f t="shared" ref="U38:U46" si="68">E38*$U$35</f>
        <v>28.21</v>
      </c>
      <c r="V38" s="1"/>
      <c r="W38" s="1">
        <f t="shared" ref="W38:W46" si="69">B38*$W$35</f>
        <v>4388.28</v>
      </c>
      <c r="X38" s="1">
        <f t="shared" ref="X38:X46" si="70">C38*$X$35</f>
        <v>254.15</v>
      </c>
      <c r="Y38" s="1">
        <f t="shared" ref="Y38:Y46" si="71">D38*$Y$35</f>
        <v>52</v>
      </c>
      <c r="Z38" s="1">
        <f t="shared" ref="Z38:Z46" si="72">E38*$Z$35</f>
        <v>24.180000000000003</v>
      </c>
      <c r="AA38" s="1"/>
      <c r="AB38" s="1" t="s">
        <v>38</v>
      </c>
      <c r="AC38" s="1">
        <v>90</v>
      </c>
      <c r="AD38" s="1"/>
    </row>
    <row r="39" spans="1:30" ht="15.75" customHeight="1" x14ac:dyDescent="0.15">
      <c r="A39" s="4" t="s">
        <v>15</v>
      </c>
      <c r="B39" s="1">
        <f t="shared" ref="B39:E39" si="73">B4*$J$3</f>
        <v>14266.2</v>
      </c>
      <c r="C39" s="1">
        <f t="shared" si="73"/>
        <v>946.4</v>
      </c>
      <c r="D39" s="1">
        <f t="shared" si="73"/>
        <v>364</v>
      </c>
      <c r="E39" s="1">
        <f t="shared" si="73"/>
        <v>78</v>
      </c>
      <c r="F39" s="1">
        <v>81</v>
      </c>
      <c r="G39" s="1"/>
      <c r="H39" s="1">
        <f t="shared" si="57"/>
        <v>1426.6200000000001</v>
      </c>
      <c r="I39" s="1">
        <f t="shared" si="58"/>
        <v>94.64</v>
      </c>
      <c r="J39" s="1">
        <f t="shared" si="59"/>
        <v>36.4</v>
      </c>
      <c r="K39" s="1">
        <f t="shared" si="60"/>
        <v>7.8000000000000007</v>
      </c>
      <c r="L39" s="1"/>
      <c r="M39" s="1">
        <f t="shared" si="61"/>
        <v>4279.8599999999997</v>
      </c>
      <c r="N39" s="1">
        <f t="shared" si="62"/>
        <v>283.91999999999996</v>
      </c>
      <c r="O39" s="1">
        <f t="shared" si="63"/>
        <v>109.2</v>
      </c>
      <c r="P39" s="1">
        <f t="shared" si="64"/>
        <v>19.5</v>
      </c>
      <c r="Q39" s="1"/>
      <c r="R39" s="1">
        <f t="shared" si="65"/>
        <v>4279.8599999999997</v>
      </c>
      <c r="S39" s="1">
        <f t="shared" si="66"/>
        <v>331.23999999999995</v>
      </c>
      <c r="T39" s="1">
        <f t="shared" si="67"/>
        <v>145.6</v>
      </c>
      <c r="U39" s="1">
        <f t="shared" si="68"/>
        <v>27.299999999999997</v>
      </c>
      <c r="V39" s="1"/>
      <c r="W39" s="1">
        <f t="shared" si="69"/>
        <v>4279.8599999999997</v>
      </c>
      <c r="X39" s="1">
        <f t="shared" si="70"/>
        <v>236.6</v>
      </c>
      <c r="Y39" s="1">
        <f t="shared" si="71"/>
        <v>72.8</v>
      </c>
      <c r="Z39" s="1">
        <f t="shared" si="72"/>
        <v>23.4</v>
      </c>
      <c r="AA39" s="1"/>
      <c r="AB39" s="1" t="s">
        <v>45</v>
      </c>
      <c r="AC39" s="1">
        <v>70</v>
      </c>
      <c r="AD39" s="1"/>
    </row>
    <row r="40" spans="1:30" ht="15.75" customHeight="1" x14ac:dyDescent="0.15">
      <c r="A40" s="4" t="s">
        <v>18</v>
      </c>
      <c r="B40" s="1">
        <f t="shared" ref="B40:E40" si="74">B5*$J$3</f>
        <v>16403.400000000001</v>
      </c>
      <c r="C40" s="1">
        <f t="shared" si="74"/>
        <v>1463.8</v>
      </c>
      <c r="D40" s="1">
        <f t="shared" si="74"/>
        <v>738.4</v>
      </c>
      <c r="E40" s="1">
        <f t="shared" si="74"/>
        <v>137.80000000000001</v>
      </c>
      <c r="F40" s="1">
        <v>103</v>
      </c>
      <c r="G40" s="1"/>
      <c r="H40" s="1">
        <f t="shared" si="57"/>
        <v>1640.3400000000001</v>
      </c>
      <c r="I40" s="1">
        <f t="shared" si="58"/>
        <v>146.38</v>
      </c>
      <c r="J40" s="1">
        <f t="shared" si="59"/>
        <v>73.84</v>
      </c>
      <c r="K40" s="1">
        <f t="shared" si="60"/>
        <v>13.780000000000001</v>
      </c>
      <c r="L40" s="1"/>
      <c r="M40" s="1">
        <f t="shared" si="61"/>
        <v>4921.0200000000004</v>
      </c>
      <c r="N40" s="1">
        <f t="shared" si="62"/>
        <v>439.14</v>
      </c>
      <c r="O40" s="1">
        <f t="shared" si="63"/>
        <v>221.51999999999998</v>
      </c>
      <c r="P40" s="1">
        <f t="shared" si="64"/>
        <v>34.450000000000003</v>
      </c>
      <c r="Q40" s="1"/>
      <c r="R40" s="1">
        <f t="shared" si="65"/>
        <v>4921.0200000000004</v>
      </c>
      <c r="S40" s="1">
        <f t="shared" si="66"/>
        <v>512.32999999999993</v>
      </c>
      <c r="T40" s="1">
        <f t="shared" si="67"/>
        <v>295.36</v>
      </c>
      <c r="U40" s="1">
        <f t="shared" si="68"/>
        <v>48.230000000000004</v>
      </c>
      <c r="V40" s="1"/>
      <c r="W40" s="1">
        <f t="shared" si="69"/>
        <v>4921.0200000000004</v>
      </c>
      <c r="X40" s="1">
        <f t="shared" si="70"/>
        <v>365.95</v>
      </c>
      <c r="Y40" s="1">
        <f t="shared" si="71"/>
        <v>147.68</v>
      </c>
      <c r="Z40" s="1">
        <f t="shared" si="72"/>
        <v>41.34</v>
      </c>
      <c r="AA40" s="1"/>
      <c r="AB40" s="1"/>
      <c r="AC40" s="2">
        <f>SUM(AC36:AC39)</f>
        <v>305</v>
      </c>
      <c r="AD40" s="1"/>
    </row>
    <row r="41" spans="1:30" ht="15.75" customHeight="1" x14ac:dyDescent="0.15">
      <c r="A41" s="4" t="s">
        <v>20</v>
      </c>
      <c r="B41" s="1">
        <f t="shared" ref="B41:E41" si="75">B6*$J$3</f>
        <v>16637.400000000001</v>
      </c>
      <c r="C41" s="1">
        <f t="shared" si="75"/>
        <v>1814.8</v>
      </c>
      <c r="D41" s="1">
        <f t="shared" si="75"/>
        <v>925.6</v>
      </c>
      <c r="E41" s="1">
        <f t="shared" si="75"/>
        <v>184.6</v>
      </c>
      <c r="F41" s="1">
        <v>106</v>
      </c>
      <c r="G41" s="1"/>
      <c r="H41" s="1">
        <f t="shared" si="57"/>
        <v>1663.7400000000002</v>
      </c>
      <c r="I41" s="1">
        <f t="shared" si="58"/>
        <v>181.48000000000002</v>
      </c>
      <c r="J41" s="1">
        <f t="shared" si="59"/>
        <v>92.56</v>
      </c>
      <c r="K41" s="1">
        <f t="shared" si="60"/>
        <v>18.46</v>
      </c>
      <c r="L41" s="1"/>
      <c r="M41" s="1">
        <f t="shared" si="61"/>
        <v>4991.22</v>
      </c>
      <c r="N41" s="1">
        <f t="shared" si="62"/>
        <v>544.43999999999994</v>
      </c>
      <c r="O41" s="1">
        <f t="shared" si="63"/>
        <v>277.68</v>
      </c>
      <c r="P41" s="1">
        <f t="shared" si="64"/>
        <v>46.15</v>
      </c>
      <c r="Q41" s="1"/>
      <c r="R41" s="1">
        <f t="shared" si="65"/>
        <v>4991.22</v>
      </c>
      <c r="S41" s="1">
        <f t="shared" si="66"/>
        <v>635.17999999999995</v>
      </c>
      <c r="T41" s="1">
        <f t="shared" si="67"/>
        <v>370.24</v>
      </c>
      <c r="U41" s="1">
        <f t="shared" si="68"/>
        <v>64.61</v>
      </c>
      <c r="V41" s="1"/>
      <c r="W41" s="1">
        <f t="shared" si="69"/>
        <v>4991.22</v>
      </c>
      <c r="X41" s="1">
        <f t="shared" si="70"/>
        <v>453.7</v>
      </c>
      <c r="Y41" s="1">
        <f t="shared" si="71"/>
        <v>185.12</v>
      </c>
      <c r="Z41" s="1">
        <f t="shared" si="72"/>
        <v>55.379999999999995</v>
      </c>
      <c r="AA41" s="1"/>
      <c r="AB41" s="12" t="s">
        <v>49</v>
      </c>
      <c r="AC41" s="11"/>
      <c r="AD41" s="1"/>
    </row>
    <row r="42" spans="1:30" ht="15.75" customHeight="1" x14ac:dyDescent="0.15">
      <c r="A42" s="4" t="s">
        <v>22</v>
      </c>
      <c r="B42" s="1">
        <f t="shared" ref="B42:E42" si="76">B7*$J$3</f>
        <v>16858.400000000001</v>
      </c>
      <c r="C42" s="1">
        <f t="shared" si="76"/>
        <v>3101.8</v>
      </c>
      <c r="D42" s="1">
        <f t="shared" si="76"/>
        <v>2129.4</v>
      </c>
      <c r="E42" s="1">
        <f t="shared" si="76"/>
        <v>265.2</v>
      </c>
      <c r="F42" s="1">
        <v>106</v>
      </c>
      <c r="G42" s="1"/>
      <c r="H42" s="1">
        <f t="shared" si="57"/>
        <v>1685.8400000000001</v>
      </c>
      <c r="I42" s="1">
        <f t="shared" si="58"/>
        <v>310.18000000000006</v>
      </c>
      <c r="J42" s="1">
        <f t="shared" si="59"/>
        <v>212.94000000000003</v>
      </c>
      <c r="K42" s="1">
        <f t="shared" si="60"/>
        <v>26.52</v>
      </c>
      <c r="L42" s="1"/>
      <c r="M42" s="1">
        <f t="shared" si="61"/>
        <v>5057.5200000000004</v>
      </c>
      <c r="N42" s="1">
        <f t="shared" si="62"/>
        <v>930.54</v>
      </c>
      <c r="O42" s="1">
        <f t="shared" si="63"/>
        <v>638.82000000000005</v>
      </c>
      <c r="P42" s="1">
        <f t="shared" si="64"/>
        <v>66.3</v>
      </c>
      <c r="Q42" s="1"/>
      <c r="R42" s="1">
        <f t="shared" si="65"/>
        <v>5057.5200000000004</v>
      </c>
      <c r="S42" s="1">
        <f t="shared" si="66"/>
        <v>1085.6299999999999</v>
      </c>
      <c r="T42" s="1">
        <f t="shared" si="67"/>
        <v>851.7600000000001</v>
      </c>
      <c r="U42" s="1">
        <f t="shared" si="68"/>
        <v>92.82</v>
      </c>
      <c r="V42" s="1"/>
      <c r="W42" s="1">
        <f t="shared" si="69"/>
        <v>5057.5200000000004</v>
      </c>
      <c r="X42" s="1">
        <f t="shared" si="70"/>
        <v>775.45</v>
      </c>
      <c r="Y42" s="1">
        <f t="shared" si="71"/>
        <v>425.88000000000005</v>
      </c>
      <c r="Z42" s="1">
        <f t="shared" si="72"/>
        <v>79.559999999999988</v>
      </c>
      <c r="AA42" s="1"/>
      <c r="AB42" s="1" t="s">
        <v>36</v>
      </c>
      <c r="AC42" s="1">
        <v>45</v>
      </c>
      <c r="AD42" s="1"/>
    </row>
    <row r="43" spans="1:30" ht="15.75" customHeight="1" x14ac:dyDescent="0.15">
      <c r="A43" s="4" t="s">
        <v>24</v>
      </c>
      <c r="B43" s="1">
        <f t="shared" ref="B43:E43" si="77">B8*$J$3</f>
        <v>15745.6</v>
      </c>
      <c r="C43" s="1">
        <f t="shared" si="77"/>
        <v>1718.6000000000001</v>
      </c>
      <c r="D43" s="1">
        <f t="shared" si="77"/>
        <v>699.4</v>
      </c>
      <c r="E43" s="1">
        <f t="shared" si="77"/>
        <v>226.20000000000002</v>
      </c>
      <c r="F43" s="1">
        <v>95</v>
      </c>
      <c r="G43" s="1"/>
      <c r="H43" s="1">
        <f t="shared" si="57"/>
        <v>1574.5600000000002</v>
      </c>
      <c r="I43" s="1">
        <f t="shared" si="58"/>
        <v>171.86</v>
      </c>
      <c r="J43" s="1">
        <f t="shared" si="59"/>
        <v>69.94</v>
      </c>
      <c r="K43" s="1">
        <f t="shared" si="60"/>
        <v>22.620000000000005</v>
      </c>
      <c r="L43" s="1"/>
      <c r="M43" s="1">
        <f t="shared" si="61"/>
        <v>4723.68</v>
      </c>
      <c r="N43" s="1">
        <f t="shared" si="62"/>
        <v>515.58000000000004</v>
      </c>
      <c r="O43" s="1">
        <f t="shared" si="63"/>
        <v>209.82</v>
      </c>
      <c r="P43" s="1">
        <f t="shared" si="64"/>
        <v>56.550000000000004</v>
      </c>
      <c r="Q43" s="1"/>
      <c r="R43" s="1">
        <f t="shared" si="65"/>
        <v>4723.68</v>
      </c>
      <c r="S43" s="1">
        <f t="shared" si="66"/>
        <v>601.51</v>
      </c>
      <c r="T43" s="1">
        <f t="shared" si="67"/>
        <v>279.76</v>
      </c>
      <c r="U43" s="1">
        <f t="shared" si="68"/>
        <v>79.17</v>
      </c>
      <c r="V43" s="1"/>
      <c r="W43" s="1">
        <f t="shared" si="69"/>
        <v>4723.68</v>
      </c>
      <c r="X43" s="1">
        <f t="shared" si="70"/>
        <v>429.65000000000003</v>
      </c>
      <c r="Y43" s="1">
        <f t="shared" si="71"/>
        <v>139.88</v>
      </c>
      <c r="Z43" s="1">
        <f t="shared" si="72"/>
        <v>67.86</v>
      </c>
      <c r="AA43" s="1"/>
      <c r="AB43" s="1" t="s">
        <v>37</v>
      </c>
      <c r="AC43" s="1">
        <v>80</v>
      </c>
      <c r="AD43" s="1"/>
    </row>
    <row r="44" spans="1:30" ht="15.75" customHeight="1" x14ac:dyDescent="0.15">
      <c r="A44" s="4" t="s">
        <v>26</v>
      </c>
      <c r="B44" s="1">
        <f t="shared" ref="B44:E44" si="78">B9*$J$3</f>
        <v>17568.2</v>
      </c>
      <c r="C44" s="1">
        <f t="shared" si="78"/>
        <v>2795</v>
      </c>
      <c r="D44" s="1">
        <f t="shared" si="78"/>
        <v>1905.8</v>
      </c>
      <c r="E44" s="1">
        <f t="shared" si="78"/>
        <v>293.8</v>
      </c>
      <c r="F44" s="1">
        <v>112</v>
      </c>
      <c r="G44" s="1"/>
      <c r="H44" s="1">
        <f t="shared" si="57"/>
        <v>1756.8200000000002</v>
      </c>
      <c r="I44" s="1">
        <f t="shared" si="58"/>
        <v>279.5</v>
      </c>
      <c r="J44" s="1">
        <f t="shared" si="59"/>
        <v>190.58</v>
      </c>
      <c r="K44" s="1">
        <f t="shared" si="60"/>
        <v>29.380000000000003</v>
      </c>
      <c r="L44" s="1"/>
      <c r="M44" s="1">
        <f t="shared" si="61"/>
        <v>5270.46</v>
      </c>
      <c r="N44" s="1">
        <f t="shared" si="62"/>
        <v>838.5</v>
      </c>
      <c r="O44" s="1">
        <f t="shared" si="63"/>
        <v>571.74</v>
      </c>
      <c r="P44" s="1">
        <f t="shared" si="64"/>
        <v>73.45</v>
      </c>
      <c r="Q44" s="1"/>
      <c r="R44" s="1">
        <f t="shared" si="65"/>
        <v>5270.46</v>
      </c>
      <c r="S44" s="1">
        <f t="shared" si="66"/>
        <v>978.24999999999989</v>
      </c>
      <c r="T44" s="1">
        <f t="shared" si="67"/>
        <v>762.32</v>
      </c>
      <c r="U44" s="1">
        <f t="shared" si="68"/>
        <v>102.83</v>
      </c>
      <c r="V44" s="1"/>
      <c r="W44" s="1">
        <f t="shared" si="69"/>
        <v>5270.46</v>
      </c>
      <c r="X44" s="1">
        <f t="shared" si="70"/>
        <v>698.75</v>
      </c>
      <c r="Y44" s="1">
        <f t="shared" si="71"/>
        <v>381.16</v>
      </c>
      <c r="Z44" s="1">
        <f t="shared" si="72"/>
        <v>88.14</v>
      </c>
      <c r="AA44" s="1"/>
      <c r="AB44" s="1" t="s">
        <v>38</v>
      </c>
      <c r="AC44" s="1">
        <v>70</v>
      </c>
      <c r="AD44" s="1"/>
    </row>
    <row r="45" spans="1:30" ht="15.75" customHeight="1" x14ac:dyDescent="0.15">
      <c r="A45" s="4" t="s">
        <v>28</v>
      </c>
      <c r="B45" s="1">
        <f t="shared" ref="B45:E45" si="79">B10*$J$3</f>
        <v>19201</v>
      </c>
      <c r="C45" s="1">
        <f t="shared" si="79"/>
        <v>3356.6</v>
      </c>
      <c r="D45" s="1">
        <f t="shared" si="79"/>
        <v>2688.4</v>
      </c>
      <c r="E45" s="1">
        <f t="shared" si="79"/>
        <v>273</v>
      </c>
      <c r="F45" s="1">
        <v>130</v>
      </c>
      <c r="G45" s="1"/>
      <c r="H45" s="1">
        <f t="shared" si="57"/>
        <v>1920.1000000000001</v>
      </c>
      <c r="I45" s="1">
        <f t="shared" si="58"/>
        <v>335.66</v>
      </c>
      <c r="J45" s="1">
        <f t="shared" si="59"/>
        <v>268.84000000000003</v>
      </c>
      <c r="K45" s="1">
        <f t="shared" si="60"/>
        <v>27.3</v>
      </c>
      <c r="L45" s="1"/>
      <c r="M45" s="1">
        <f t="shared" si="61"/>
        <v>5760.3</v>
      </c>
      <c r="N45" s="1">
        <f t="shared" si="62"/>
        <v>1006.9799999999999</v>
      </c>
      <c r="O45" s="1">
        <f t="shared" si="63"/>
        <v>806.52</v>
      </c>
      <c r="P45" s="1">
        <f t="shared" si="64"/>
        <v>68.25</v>
      </c>
      <c r="Q45" s="1"/>
      <c r="R45" s="1">
        <f t="shared" si="65"/>
        <v>5760.3</v>
      </c>
      <c r="S45" s="1">
        <f t="shared" si="66"/>
        <v>1174.81</v>
      </c>
      <c r="T45" s="1">
        <f t="shared" si="67"/>
        <v>1075.3600000000001</v>
      </c>
      <c r="U45" s="1">
        <f t="shared" si="68"/>
        <v>95.55</v>
      </c>
      <c r="V45" s="1"/>
      <c r="W45" s="1">
        <f t="shared" si="69"/>
        <v>5760.3</v>
      </c>
      <c r="X45" s="1">
        <f t="shared" si="70"/>
        <v>839.15</v>
      </c>
      <c r="Y45" s="1">
        <f t="shared" si="71"/>
        <v>537.68000000000006</v>
      </c>
      <c r="Z45" s="1">
        <f t="shared" si="72"/>
        <v>81.899999999999991</v>
      </c>
      <c r="AA45" s="1"/>
      <c r="AB45" s="1" t="s">
        <v>45</v>
      </c>
      <c r="AC45" s="1">
        <v>120</v>
      </c>
      <c r="AD45" s="1"/>
    </row>
    <row r="46" spans="1:30" ht="15.75" customHeight="1" x14ac:dyDescent="0.15">
      <c r="A46" s="4" t="s">
        <v>30</v>
      </c>
      <c r="B46" s="1">
        <f t="shared" ref="B46:E46" si="80">B11*$J$3</f>
        <v>18538</v>
      </c>
      <c r="C46" s="1">
        <f t="shared" si="80"/>
        <v>2847</v>
      </c>
      <c r="D46" s="1">
        <f t="shared" si="80"/>
        <v>2095.6</v>
      </c>
      <c r="E46" s="1">
        <f t="shared" si="80"/>
        <v>241.8</v>
      </c>
      <c r="F46" s="1">
        <v>121</v>
      </c>
      <c r="G46" s="1"/>
      <c r="H46" s="1">
        <f t="shared" si="57"/>
        <v>1853.8000000000002</v>
      </c>
      <c r="I46" s="1">
        <f t="shared" si="58"/>
        <v>284.7</v>
      </c>
      <c r="J46" s="1">
        <f t="shared" si="59"/>
        <v>209.56</v>
      </c>
      <c r="K46" s="1">
        <f t="shared" si="60"/>
        <v>24.180000000000003</v>
      </c>
      <c r="L46" s="1"/>
      <c r="M46" s="1">
        <f t="shared" si="61"/>
        <v>5561.4</v>
      </c>
      <c r="N46" s="1">
        <f t="shared" si="62"/>
        <v>854.1</v>
      </c>
      <c r="O46" s="1">
        <f t="shared" si="63"/>
        <v>628.67999999999995</v>
      </c>
      <c r="P46" s="1">
        <f t="shared" si="64"/>
        <v>60.45</v>
      </c>
      <c r="Q46" s="1"/>
      <c r="R46" s="1">
        <f t="shared" si="65"/>
        <v>5561.4</v>
      </c>
      <c r="S46" s="1">
        <f t="shared" si="66"/>
        <v>996.44999999999993</v>
      </c>
      <c r="T46" s="1">
        <f t="shared" si="67"/>
        <v>838.24</v>
      </c>
      <c r="U46" s="1">
        <f t="shared" si="68"/>
        <v>84.63</v>
      </c>
      <c r="V46" s="1"/>
      <c r="W46" s="1">
        <f t="shared" si="69"/>
        <v>5561.4</v>
      </c>
      <c r="X46" s="1">
        <f t="shared" si="70"/>
        <v>711.75</v>
      </c>
      <c r="Y46" s="1">
        <f t="shared" si="71"/>
        <v>419.12</v>
      </c>
      <c r="Z46" s="1">
        <f t="shared" si="72"/>
        <v>72.540000000000006</v>
      </c>
      <c r="AA46" s="1"/>
      <c r="AB46" s="1"/>
      <c r="AC46" s="2">
        <f>SUM(AC42:AC45)</f>
        <v>315</v>
      </c>
      <c r="AD46" s="1"/>
    </row>
    <row r="47" spans="1:30" ht="15.75" customHeight="1" x14ac:dyDescent="0.15">
      <c r="A47" s="2"/>
      <c r="B47" s="2"/>
      <c r="C47" s="2"/>
      <c r="D47" s="2"/>
      <c r="E47" s="2"/>
      <c r="F47" s="2"/>
      <c r="G47" s="1"/>
      <c r="H47" s="1">
        <v>0.1</v>
      </c>
      <c r="I47" s="1">
        <v>0.1</v>
      </c>
      <c r="J47" s="1">
        <v>0.1</v>
      </c>
      <c r="K47" s="1">
        <v>0.1</v>
      </c>
      <c r="L47" s="1"/>
      <c r="M47" s="1">
        <v>0.3</v>
      </c>
      <c r="N47" s="1">
        <v>0.3</v>
      </c>
      <c r="O47" s="1">
        <v>0.3</v>
      </c>
      <c r="P47" s="1">
        <v>0.25</v>
      </c>
      <c r="Q47" s="1"/>
      <c r="R47" s="1">
        <v>0.3</v>
      </c>
      <c r="S47" s="1">
        <v>0.35</v>
      </c>
      <c r="T47" s="1">
        <v>0.4</v>
      </c>
      <c r="U47" s="1">
        <v>0.35</v>
      </c>
      <c r="V47" s="1"/>
      <c r="W47" s="1">
        <v>0.3</v>
      </c>
      <c r="X47" s="1">
        <v>0.25</v>
      </c>
      <c r="Y47" s="1">
        <v>0.2</v>
      </c>
      <c r="Z47" s="1">
        <v>0.3</v>
      </c>
      <c r="AA47" s="1"/>
      <c r="AB47" s="1"/>
      <c r="AC47" s="1"/>
      <c r="AD47" s="1"/>
    </row>
    <row r="48" spans="1:30" ht="15.75" customHeight="1" x14ac:dyDescent="0.15">
      <c r="A48" s="9" t="s">
        <v>11</v>
      </c>
      <c r="B48" s="10"/>
      <c r="C48" s="10"/>
      <c r="D48" s="10"/>
      <c r="E48" s="10"/>
      <c r="F48" s="11"/>
      <c r="G48" s="1"/>
      <c r="H48" s="9" t="s">
        <v>42</v>
      </c>
      <c r="I48" s="10"/>
      <c r="J48" s="10"/>
      <c r="K48" s="11"/>
      <c r="L48" s="1"/>
      <c r="M48" s="9" t="s">
        <v>43</v>
      </c>
      <c r="N48" s="10"/>
      <c r="O48" s="10"/>
      <c r="P48" s="11"/>
      <c r="Q48" s="1"/>
      <c r="R48" s="9" t="s">
        <v>44</v>
      </c>
      <c r="S48" s="10"/>
      <c r="T48" s="10"/>
      <c r="U48" s="11"/>
      <c r="V48" s="1"/>
      <c r="W48" s="9" t="s">
        <v>48</v>
      </c>
      <c r="X48" s="10"/>
      <c r="Y48" s="10"/>
      <c r="Z48" s="11"/>
      <c r="AA48" s="1"/>
      <c r="AB48" s="1"/>
      <c r="AC48" s="1"/>
      <c r="AD48" s="1"/>
    </row>
    <row r="49" spans="1:30" ht="13" x14ac:dyDescent="0.15">
      <c r="A49" s="3" t="s">
        <v>2</v>
      </c>
      <c r="B49" s="3" t="s">
        <v>3</v>
      </c>
      <c r="C49" s="3" t="s">
        <v>4</v>
      </c>
      <c r="D49" s="3" t="s">
        <v>5</v>
      </c>
      <c r="E49" s="3" t="s">
        <v>6</v>
      </c>
      <c r="F49" s="3" t="s">
        <v>7</v>
      </c>
      <c r="G49" s="1"/>
      <c r="H49" s="3" t="s">
        <v>3</v>
      </c>
      <c r="I49" s="3" t="s">
        <v>4</v>
      </c>
      <c r="J49" s="3" t="s">
        <v>5</v>
      </c>
      <c r="K49" s="3" t="s">
        <v>6</v>
      </c>
      <c r="L49" s="1"/>
      <c r="M49" s="3" t="s">
        <v>3</v>
      </c>
      <c r="N49" s="3" t="s">
        <v>4</v>
      </c>
      <c r="O49" s="3" t="s">
        <v>5</v>
      </c>
      <c r="P49" s="3" t="s">
        <v>6</v>
      </c>
      <c r="Q49" s="1"/>
      <c r="R49" s="3" t="s">
        <v>3</v>
      </c>
      <c r="S49" s="3" t="s">
        <v>4</v>
      </c>
      <c r="T49" s="3" t="s">
        <v>5</v>
      </c>
      <c r="U49" s="3" t="s">
        <v>6</v>
      </c>
      <c r="V49" s="1"/>
      <c r="W49" s="3" t="s">
        <v>3</v>
      </c>
      <c r="X49" s="3" t="s">
        <v>4</v>
      </c>
      <c r="Y49" s="3" t="s">
        <v>5</v>
      </c>
      <c r="Z49" s="3" t="s">
        <v>6</v>
      </c>
      <c r="AA49" s="1"/>
      <c r="AB49" s="1"/>
      <c r="AC49" s="1"/>
      <c r="AD49" s="1"/>
    </row>
    <row r="50" spans="1:30" ht="13" x14ac:dyDescent="0.15">
      <c r="A50" s="4" t="s">
        <v>14</v>
      </c>
      <c r="B50" s="1">
        <f t="shared" ref="B50:E50" si="81">B3*$K$3</f>
        <v>13502.4</v>
      </c>
      <c r="C50" s="1">
        <f t="shared" si="81"/>
        <v>938.4</v>
      </c>
      <c r="D50" s="1">
        <f t="shared" si="81"/>
        <v>240</v>
      </c>
      <c r="E50" s="1">
        <f t="shared" si="81"/>
        <v>74.399999999999991</v>
      </c>
      <c r="F50" s="1">
        <v>85</v>
      </c>
      <c r="G50" s="1"/>
      <c r="H50" s="1">
        <f t="shared" ref="H50:H58" si="82">B50*$H$47</f>
        <v>1350.24</v>
      </c>
      <c r="I50" s="1">
        <f t="shared" ref="I50:I58" si="83">C50*$I$47</f>
        <v>93.84</v>
      </c>
      <c r="J50" s="1">
        <f t="shared" ref="J50:J58" si="84">D50*$J$47</f>
        <v>24</v>
      </c>
      <c r="K50" s="1">
        <f t="shared" ref="K50:K58" si="85">E50*$K$47</f>
        <v>7.4399999999999995</v>
      </c>
      <c r="L50" s="1"/>
      <c r="M50" s="1">
        <f t="shared" ref="M50:M58" si="86">B50*$M$47</f>
        <v>4050.72</v>
      </c>
      <c r="N50" s="1">
        <f t="shared" ref="N50:N58" si="87">C50*$N$47</f>
        <v>281.52</v>
      </c>
      <c r="O50" s="1">
        <f t="shared" ref="O50:O58" si="88">D50*$O$47</f>
        <v>72</v>
      </c>
      <c r="P50" s="1">
        <f t="shared" ref="P50:P58" si="89">E50*$P$47</f>
        <v>18.599999999999998</v>
      </c>
      <c r="Q50" s="1"/>
      <c r="R50" s="1">
        <f t="shared" ref="R50:R58" si="90">B50*$R$47</f>
        <v>4050.72</v>
      </c>
      <c r="S50" s="1">
        <f t="shared" ref="S50:S58" si="91">C50*$S$47</f>
        <v>328.44</v>
      </c>
      <c r="T50" s="1">
        <f t="shared" ref="T50:T58" si="92">D50*$T$47</f>
        <v>96</v>
      </c>
      <c r="U50" s="1">
        <f t="shared" ref="U50:U58" si="93">E50*$U$47</f>
        <v>26.039999999999996</v>
      </c>
      <c r="V50" s="1"/>
      <c r="W50" s="1">
        <f t="shared" ref="W50:W58" si="94">B50*$W$47</f>
        <v>4050.72</v>
      </c>
      <c r="X50" s="1">
        <f t="shared" ref="X50:X58" si="95">C50*$X$47</f>
        <v>234.6</v>
      </c>
      <c r="Y50" s="1">
        <f t="shared" ref="Y50:Y58" si="96">D50*$Y$47</f>
        <v>48</v>
      </c>
      <c r="Z50" s="1">
        <f t="shared" ref="Z50:Z58" si="97">E50*$Z$47</f>
        <v>22.319999999999997</v>
      </c>
      <c r="AA50" s="1"/>
      <c r="AB50" s="1"/>
      <c r="AC50" s="1"/>
      <c r="AD50" s="1"/>
    </row>
    <row r="51" spans="1:30" ht="13" x14ac:dyDescent="0.15">
      <c r="A51" s="4" t="s">
        <v>15</v>
      </c>
      <c r="B51" s="1">
        <f t="shared" ref="B51:E51" si="98">B4*$K$3</f>
        <v>13168.8</v>
      </c>
      <c r="C51" s="1">
        <f t="shared" si="98"/>
        <v>873.6</v>
      </c>
      <c r="D51" s="1">
        <f t="shared" si="98"/>
        <v>336</v>
      </c>
      <c r="E51" s="1">
        <f t="shared" si="98"/>
        <v>72</v>
      </c>
      <c r="F51" s="1">
        <v>81</v>
      </c>
      <c r="G51" s="1"/>
      <c r="H51" s="1">
        <f t="shared" si="82"/>
        <v>1316.88</v>
      </c>
      <c r="I51" s="1">
        <f t="shared" si="83"/>
        <v>87.360000000000014</v>
      </c>
      <c r="J51" s="1">
        <f t="shared" si="84"/>
        <v>33.6</v>
      </c>
      <c r="K51" s="1">
        <f t="shared" si="85"/>
        <v>7.2</v>
      </c>
      <c r="L51" s="1"/>
      <c r="M51" s="1">
        <f t="shared" si="86"/>
        <v>3950.6399999999994</v>
      </c>
      <c r="N51" s="1">
        <f t="shared" si="87"/>
        <v>262.08</v>
      </c>
      <c r="O51" s="1">
        <f t="shared" si="88"/>
        <v>100.8</v>
      </c>
      <c r="P51" s="1">
        <f t="shared" si="89"/>
        <v>18</v>
      </c>
      <c r="Q51" s="1"/>
      <c r="R51" s="1">
        <f t="shared" si="90"/>
        <v>3950.6399999999994</v>
      </c>
      <c r="S51" s="1">
        <f t="shared" si="91"/>
        <v>305.76</v>
      </c>
      <c r="T51" s="1">
        <f t="shared" si="92"/>
        <v>134.4</v>
      </c>
      <c r="U51" s="1">
        <f t="shared" si="93"/>
        <v>25.2</v>
      </c>
      <c r="V51" s="1"/>
      <c r="W51" s="1">
        <f t="shared" si="94"/>
        <v>3950.6399999999994</v>
      </c>
      <c r="X51" s="1">
        <f t="shared" si="95"/>
        <v>218.4</v>
      </c>
      <c r="Y51" s="1">
        <f t="shared" si="96"/>
        <v>67.2</v>
      </c>
      <c r="Z51" s="1">
        <f t="shared" si="97"/>
        <v>21.599999999999998</v>
      </c>
      <c r="AA51" s="1"/>
      <c r="AB51" s="1"/>
      <c r="AC51" s="1"/>
      <c r="AD51" s="1"/>
    </row>
    <row r="52" spans="1:30" ht="13" x14ac:dyDescent="0.15">
      <c r="A52" s="4" t="s">
        <v>18</v>
      </c>
      <c r="B52" s="1">
        <f t="shared" ref="B52:E52" si="99">B5*$K$3</f>
        <v>15141.599999999999</v>
      </c>
      <c r="C52" s="1">
        <f t="shared" si="99"/>
        <v>1351.2</v>
      </c>
      <c r="D52" s="1">
        <f t="shared" si="99"/>
        <v>681.6</v>
      </c>
      <c r="E52" s="1">
        <f t="shared" si="99"/>
        <v>127.19999999999999</v>
      </c>
      <c r="F52" s="1">
        <v>103</v>
      </c>
      <c r="G52" s="1"/>
      <c r="H52" s="1">
        <f t="shared" si="82"/>
        <v>1514.1599999999999</v>
      </c>
      <c r="I52" s="1">
        <f t="shared" si="83"/>
        <v>135.12</v>
      </c>
      <c r="J52" s="1">
        <f t="shared" si="84"/>
        <v>68.160000000000011</v>
      </c>
      <c r="K52" s="1">
        <f t="shared" si="85"/>
        <v>12.719999999999999</v>
      </c>
      <c r="L52" s="1"/>
      <c r="M52" s="1">
        <f t="shared" si="86"/>
        <v>4542.4799999999996</v>
      </c>
      <c r="N52" s="1">
        <f t="shared" si="87"/>
        <v>405.36</v>
      </c>
      <c r="O52" s="1">
        <f t="shared" si="88"/>
        <v>204.48</v>
      </c>
      <c r="P52" s="1">
        <f t="shared" si="89"/>
        <v>31.799999999999997</v>
      </c>
      <c r="Q52" s="1"/>
      <c r="R52" s="1">
        <f t="shared" si="90"/>
        <v>4542.4799999999996</v>
      </c>
      <c r="S52" s="1">
        <f t="shared" si="91"/>
        <v>472.91999999999996</v>
      </c>
      <c r="T52" s="1">
        <f t="shared" si="92"/>
        <v>272.64000000000004</v>
      </c>
      <c r="U52" s="1">
        <f t="shared" si="93"/>
        <v>44.519999999999996</v>
      </c>
      <c r="V52" s="1"/>
      <c r="W52" s="1">
        <f t="shared" si="94"/>
        <v>4542.4799999999996</v>
      </c>
      <c r="X52" s="1">
        <f t="shared" si="95"/>
        <v>337.8</v>
      </c>
      <c r="Y52" s="1">
        <f t="shared" si="96"/>
        <v>136.32000000000002</v>
      </c>
      <c r="Z52" s="1">
        <f t="shared" si="97"/>
        <v>38.159999999999997</v>
      </c>
      <c r="AA52" s="1"/>
      <c r="AB52" s="1"/>
      <c r="AC52" s="1"/>
      <c r="AD52" s="1"/>
    </row>
    <row r="53" spans="1:30" ht="13" x14ac:dyDescent="0.15">
      <c r="A53" s="4" t="s">
        <v>20</v>
      </c>
      <c r="B53" s="1">
        <f t="shared" ref="B53:E53" si="100">B6*$K$3</f>
        <v>15357.599999999999</v>
      </c>
      <c r="C53" s="1">
        <f t="shared" si="100"/>
        <v>1675.2</v>
      </c>
      <c r="D53" s="1">
        <f t="shared" si="100"/>
        <v>854.4</v>
      </c>
      <c r="E53" s="1">
        <f t="shared" si="100"/>
        <v>170.4</v>
      </c>
      <c r="F53" s="1">
        <v>106</v>
      </c>
      <c r="G53" s="1"/>
      <c r="H53" s="1">
        <f t="shared" si="82"/>
        <v>1535.76</v>
      </c>
      <c r="I53" s="1">
        <f t="shared" si="83"/>
        <v>167.52</v>
      </c>
      <c r="J53" s="1">
        <f t="shared" si="84"/>
        <v>85.44</v>
      </c>
      <c r="K53" s="1">
        <f t="shared" si="85"/>
        <v>17.040000000000003</v>
      </c>
      <c r="L53" s="1"/>
      <c r="M53" s="1">
        <f t="shared" si="86"/>
        <v>4607.28</v>
      </c>
      <c r="N53" s="1">
        <f t="shared" si="87"/>
        <v>502.56</v>
      </c>
      <c r="O53" s="1">
        <f t="shared" si="88"/>
        <v>256.32</v>
      </c>
      <c r="P53" s="1">
        <f t="shared" si="89"/>
        <v>42.6</v>
      </c>
      <c r="Q53" s="1"/>
      <c r="R53" s="1">
        <f t="shared" si="90"/>
        <v>4607.28</v>
      </c>
      <c r="S53" s="1">
        <f t="shared" si="91"/>
        <v>586.31999999999994</v>
      </c>
      <c r="T53" s="1">
        <f t="shared" si="92"/>
        <v>341.76</v>
      </c>
      <c r="U53" s="1">
        <f t="shared" si="93"/>
        <v>59.64</v>
      </c>
      <c r="V53" s="1"/>
      <c r="W53" s="1">
        <f t="shared" si="94"/>
        <v>4607.28</v>
      </c>
      <c r="X53" s="1">
        <f t="shared" si="95"/>
        <v>418.8</v>
      </c>
      <c r="Y53" s="1">
        <f t="shared" si="96"/>
        <v>170.88</v>
      </c>
      <c r="Z53" s="1">
        <f t="shared" si="97"/>
        <v>51.12</v>
      </c>
      <c r="AA53" s="1"/>
      <c r="AB53" s="1"/>
      <c r="AC53" s="1"/>
      <c r="AD53" s="1"/>
    </row>
    <row r="54" spans="1:30" ht="13" x14ac:dyDescent="0.15">
      <c r="A54" s="4" t="s">
        <v>22</v>
      </c>
      <c r="B54" s="1">
        <f t="shared" ref="B54:E54" si="101">B7*$K$3</f>
        <v>15561.599999999999</v>
      </c>
      <c r="C54" s="1">
        <f t="shared" si="101"/>
        <v>2863.2</v>
      </c>
      <c r="D54" s="1">
        <f t="shared" si="101"/>
        <v>1965.6</v>
      </c>
      <c r="E54" s="1">
        <f t="shared" si="101"/>
        <v>244.79999999999998</v>
      </c>
      <c r="F54" s="1">
        <v>106</v>
      </c>
      <c r="G54" s="1"/>
      <c r="H54" s="1">
        <f t="shared" si="82"/>
        <v>1556.1599999999999</v>
      </c>
      <c r="I54" s="1">
        <f t="shared" si="83"/>
        <v>286.32</v>
      </c>
      <c r="J54" s="1">
        <f t="shared" si="84"/>
        <v>196.56</v>
      </c>
      <c r="K54" s="1">
        <f t="shared" si="85"/>
        <v>24.48</v>
      </c>
      <c r="L54" s="1"/>
      <c r="M54" s="1">
        <f t="shared" si="86"/>
        <v>4668.4799999999996</v>
      </c>
      <c r="N54" s="1">
        <f t="shared" si="87"/>
        <v>858.95999999999992</v>
      </c>
      <c r="O54" s="1">
        <f t="shared" si="88"/>
        <v>589.67999999999995</v>
      </c>
      <c r="P54" s="1">
        <f t="shared" si="89"/>
        <v>61.199999999999996</v>
      </c>
      <c r="Q54" s="1"/>
      <c r="R54" s="1">
        <f t="shared" si="90"/>
        <v>4668.4799999999996</v>
      </c>
      <c r="S54" s="1">
        <f t="shared" si="91"/>
        <v>1002.1199999999999</v>
      </c>
      <c r="T54" s="1">
        <f t="shared" si="92"/>
        <v>786.24</v>
      </c>
      <c r="U54" s="1">
        <f t="shared" si="93"/>
        <v>85.679999999999993</v>
      </c>
      <c r="V54" s="1"/>
      <c r="W54" s="1">
        <f t="shared" si="94"/>
        <v>4668.4799999999996</v>
      </c>
      <c r="X54" s="1">
        <f t="shared" si="95"/>
        <v>715.8</v>
      </c>
      <c r="Y54" s="1">
        <f t="shared" si="96"/>
        <v>393.12</v>
      </c>
      <c r="Z54" s="1">
        <f t="shared" si="97"/>
        <v>73.44</v>
      </c>
      <c r="AA54" s="1"/>
      <c r="AB54" s="1"/>
      <c r="AC54" s="1"/>
      <c r="AD54" s="1"/>
    </row>
    <row r="55" spans="1:30" ht="13" x14ac:dyDescent="0.15">
      <c r="A55" s="4" t="s">
        <v>24</v>
      </c>
      <c r="B55" s="1">
        <f t="shared" ref="B55:E55" si="102">B8*$K$3</f>
        <v>14534.4</v>
      </c>
      <c r="C55" s="1">
        <f t="shared" si="102"/>
        <v>1586.3999999999999</v>
      </c>
      <c r="D55" s="1">
        <f t="shared" si="102"/>
        <v>645.6</v>
      </c>
      <c r="E55" s="1">
        <f t="shared" si="102"/>
        <v>208.79999999999998</v>
      </c>
      <c r="F55" s="1">
        <v>95</v>
      </c>
      <c r="G55" s="1"/>
      <c r="H55" s="1">
        <f t="shared" si="82"/>
        <v>1453.44</v>
      </c>
      <c r="I55" s="1">
        <f t="shared" si="83"/>
        <v>158.63999999999999</v>
      </c>
      <c r="J55" s="1">
        <f t="shared" si="84"/>
        <v>64.56</v>
      </c>
      <c r="K55" s="1">
        <f t="shared" si="85"/>
        <v>20.88</v>
      </c>
      <c r="L55" s="1"/>
      <c r="M55" s="1">
        <f t="shared" si="86"/>
        <v>4360.32</v>
      </c>
      <c r="N55" s="1">
        <f t="shared" si="87"/>
        <v>475.91999999999996</v>
      </c>
      <c r="O55" s="1">
        <f t="shared" si="88"/>
        <v>193.68</v>
      </c>
      <c r="P55" s="1">
        <f t="shared" si="89"/>
        <v>52.199999999999996</v>
      </c>
      <c r="Q55" s="1"/>
      <c r="R55" s="1">
        <f t="shared" si="90"/>
        <v>4360.32</v>
      </c>
      <c r="S55" s="1">
        <f t="shared" si="91"/>
        <v>555.2399999999999</v>
      </c>
      <c r="T55" s="1">
        <f t="shared" si="92"/>
        <v>258.24</v>
      </c>
      <c r="U55" s="1">
        <f t="shared" si="93"/>
        <v>73.079999999999984</v>
      </c>
      <c r="V55" s="1"/>
      <c r="W55" s="1">
        <f t="shared" si="94"/>
        <v>4360.32</v>
      </c>
      <c r="X55" s="1">
        <f t="shared" si="95"/>
        <v>396.59999999999997</v>
      </c>
      <c r="Y55" s="1">
        <f t="shared" si="96"/>
        <v>129.12</v>
      </c>
      <c r="Z55" s="1">
        <f t="shared" si="97"/>
        <v>62.639999999999993</v>
      </c>
      <c r="AA55" s="1"/>
      <c r="AB55" s="1"/>
      <c r="AC55" s="1"/>
      <c r="AD55" s="1"/>
    </row>
    <row r="56" spans="1:30" ht="13" x14ac:dyDescent="0.15">
      <c r="A56" s="4" t="s">
        <v>26</v>
      </c>
      <c r="B56" s="1">
        <f t="shared" ref="B56:E56" si="103">B9*$K$3</f>
        <v>16216.8</v>
      </c>
      <c r="C56" s="1">
        <f t="shared" si="103"/>
        <v>2580</v>
      </c>
      <c r="D56" s="1">
        <f t="shared" si="103"/>
        <v>1759.2</v>
      </c>
      <c r="E56" s="1">
        <f t="shared" si="103"/>
        <v>271.2</v>
      </c>
      <c r="F56" s="1">
        <v>112</v>
      </c>
      <c r="G56" s="1"/>
      <c r="H56" s="1">
        <f t="shared" si="82"/>
        <v>1621.68</v>
      </c>
      <c r="I56" s="1">
        <f t="shared" si="83"/>
        <v>258</v>
      </c>
      <c r="J56" s="1">
        <f t="shared" si="84"/>
        <v>175.92000000000002</v>
      </c>
      <c r="K56" s="1">
        <f t="shared" si="85"/>
        <v>27.12</v>
      </c>
      <c r="L56" s="1"/>
      <c r="M56" s="1">
        <f t="shared" si="86"/>
        <v>4865.04</v>
      </c>
      <c r="N56" s="1">
        <f t="shared" si="87"/>
        <v>774</v>
      </c>
      <c r="O56" s="1">
        <f t="shared" si="88"/>
        <v>527.76</v>
      </c>
      <c r="P56" s="1">
        <f t="shared" si="89"/>
        <v>67.8</v>
      </c>
      <c r="Q56" s="1"/>
      <c r="R56" s="1">
        <f t="shared" si="90"/>
        <v>4865.04</v>
      </c>
      <c r="S56" s="1">
        <f t="shared" si="91"/>
        <v>902.99999999999989</v>
      </c>
      <c r="T56" s="1">
        <f t="shared" si="92"/>
        <v>703.68000000000006</v>
      </c>
      <c r="U56" s="1">
        <f t="shared" si="93"/>
        <v>94.919999999999987</v>
      </c>
      <c r="V56" s="1"/>
      <c r="W56" s="1">
        <f t="shared" si="94"/>
        <v>4865.04</v>
      </c>
      <c r="X56" s="1">
        <f t="shared" si="95"/>
        <v>645</v>
      </c>
      <c r="Y56" s="1">
        <f t="shared" si="96"/>
        <v>351.84000000000003</v>
      </c>
      <c r="Z56" s="1">
        <f t="shared" si="97"/>
        <v>81.36</v>
      </c>
      <c r="AA56" s="1"/>
      <c r="AB56" s="1"/>
      <c r="AC56" s="1"/>
      <c r="AD56" s="1"/>
    </row>
    <row r="57" spans="1:30" ht="13" x14ac:dyDescent="0.15">
      <c r="A57" s="4" t="s">
        <v>28</v>
      </c>
      <c r="B57" s="1">
        <f t="shared" ref="B57:E57" si="104">B10*$K$3</f>
        <v>17724</v>
      </c>
      <c r="C57" s="1">
        <f t="shared" si="104"/>
        <v>3098.4</v>
      </c>
      <c r="D57" s="1">
        <f t="shared" si="104"/>
        <v>2481.6</v>
      </c>
      <c r="E57" s="1">
        <f t="shared" si="104"/>
        <v>252</v>
      </c>
      <c r="F57" s="1">
        <v>130</v>
      </c>
      <c r="G57" s="1"/>
      <c r="H57" s="1">
        <f t="shared" si="82"/>
        <v>1772.4</v>
      </c>
      <c r="I57" s="1">
        <f t="shared" si="83"/>
        <v>309.84000000000003</v>
      </c>
      <c r="J57" s="1">
        <f t="shared" si="84"/>
        <v>248.16</v>
      </c>
      <c r="K57" s="1">
        <f t="shared" si="85"/>
        <v>25.200000000000003</v>
      </c>
      <c r="L57" s="1"/>
      <c r="M57" s="1">
        <f t="shared" si="86"/>
        <v>5317.2</v>
      </c>
      <c r="N57" s="1">
        <f t="shared" si="87"/>
        <v>929.52</v>
      </c>
      <c r="O57" s="1">
        <f t="shared" si="88"/>
        <v>744.4799999999999</v>
      </c>
      <c r="P57" s="1">
        <f t="shared" si="89"/>
        <v>63</v>
      </c>
      <c r="Q57" s="1"/>
      <c r="R57" s="1">
        <f t="shared" si="90"/>
        <v>5317.2</v>
      </c>
      <c r="S57" s="1">
        <f t="shared" si="91"/>
        <v>1084.44</v>
      </c>
      <c r="T57" s="1">
        <f t="shared" si="92"/>
        <v>992.64</v>
      </c>
      <c r="U57" s="1">
        <f t="shared" si="93"/>
        <v>88.199999999999989</v>
      </c>
      <c r="V57" s="1"/>
      <c r="W57" s="1">
        <f t="shared" si="94"/>
        <v>5317.2</v>
      </c>
      <c r="X57" s="1">
        <f t="shared" si="95"/>
        <v>774.6</v>
      </c>
      <c r="Y57" s="1">
        <f t="shared" si="96"/>
        <v>496.32</v>
      </c>
      <c r="Z57" s="1">
        <f t="shared" si="97"/>
        <v>75.599999999999994</v>
      </c>
      <c r="AA57" s="1"/>
      <c r="AB57" s="1"/>
      <c r="AC57" s="1"/>
      <c r="AD57" s="1"/>
    </row>
    <row r="58" spans="1:30" ht="13" x14ac:dyDescent="0.15">
      <c r="A58" s="4" t="s">
        <v>30</v>
      </c>
      <c r="B58" s="1">
        <f t="shared" ref="B58:E58" si="105">B11*$K$3</f>
        <v>17112</v>
      </c>
      <c r="C58" s="1">
        <f t="shared" si="105"/>
        <v>2628</v>
      </c>
      <c r="D58" s="1">
        <f t="shared" si="105"/>
        <v>1934.3999999999999</v>
      </c>
      <c r="E58" s="1">
        <f t="shared" si="105"/>
        <v>223.2</v>
      </c>
      <c r="F58" s="1">
        <v>121</v>
      </c>
      <c r="G58" s="1"/>
      <c r="H58" s="1">
        <f t="shared" si="82"/>
        <v>1711.2</v>
      </c>
      <c r="I58" s="1">
        <f t="shared" si="83"/>
        <v>262.8</v>
      </c>
      <c r="J58" s="1">
        <f t="shared" si="84"/>
        <v>193.44</v>
      </c>
      <c r="K58" s="1">
        <f t="shared" si="85"/>
        <v>22.32</v>
      </c>
      <c r="L58" s="1"/>
      <c r="M58" s="1">
        <f t="shared" si="86"/>
        <v>5133.5999999999995</v>
      </c>
      <c r="N58" s="1">
        <f t="shared" si="87"/>
        <v>788.4</v>
      </c>
      <c r="O58" s="1">
        <f t="shared" si="88"/>
        <v>580.31999999999994</v>
      </c>
      <c r="P58" s="1">
        <f t="shared" si="89"/>
        <v>55.8</v>
      </c>
      <c r="Q58" s="1"/>
      <c r="R58" s="1">
        <f t="shared" si="90"/>
        <v>5133.5999999999995</v>
      </c>
      <c r="S58" s="1">
        <f t="shared" si="91"/>
        <v>919.8</v>
      </c>
      <c r="T58" s="1">
        <f t="shared" si="92"/>
        <v>773.76</v>
      </c>
      <c r="U58" s="1">
        <f t="shared" si="93"/>
        <v>78.11999999999999</v>
      </c>
      <c r="V58" s="1"/>
      <c r="W58" s="1">
        <f t="shared" si="94"/>
        <v>5133.5999999999995</v>
      </c>
      <c r="X58" s="1">
        <f t="shared" si="95"/>
        <v>657</v>
      </c>
      <c r="Y58" s="1">
        <f t="shared" si="96"/>
        <v>386.88</v>
      </c>
      <c r="Z58" s="1">
        <f t="shared" si="97"/>
        <v>66.959999999999994</v>
      </c>
      <c r="AA58" s="1"/>
      <c r="AB58" s="1"/>
      <c r="AC58" s="1"/>
      <c r="AD58" s="1"/>
    </row>
    <row r="59" spans="1:30" ht="13" x14ac:dyDescent="0.15">
      <c r="A59" s="2"/>
      <c r="B59" s="2"/>
      <c r="C59" s="2"/>
      <c r="D59" s="2"/>
      <c r="E59" s="2"/>
      <c r="F59" s="2"/>
      <c r="G59" s="1"/>
      <c r="H59" s="1">
        <v>0.1</v>
      </c>
      <c r="I59" s="1">
        <v>0.1</v>
      </c>
      <c r="J59" s="1">
        <v>0.1</v>
      </c>
      <c r="K59" s="1">
        <v>0.1</v>
      </c>
      <c r="L59" s="1"/>
      <c r="M59" s="1">
        <v>0.3</v>
      </c>
      <c r="N59" s="1">
        <v>0.3</v>
      </c>
      <c r="O59" s="1">
        <v>0.3</v>
      </c>
      <c r="P59" s="1">
        <v>0.25</v>
      </c>
      <c r="Q59" s="1"/>
      <c r="R59" s="1">
        <v>0.3</v>
      </c>
      <c r="S59" s="1">
        <v>0.35</v>
      </c>
      <c r="T59" s="1">
        <v>0.4</v>
      </c>
      <c r="U59" s="1">
        <v>0.35</v>
      </c>
      <c r="V59" s="1"/>
      <c r="W59" s="1">
        <v>0.3</v>
      </c>
      <c r="X59" s="1">
        <v>0.25</v>
      </c>
      <c r="Y59" s="1">
        <v>0.2</v>
      </c>
      <c r="Z59" s="1">
        <v>0.3</v>
      </c>
      <c r="AA59" s="1"/>
      <c r="AB59" s="1"/>
      <c r="AC59" s="1"/>
      <c r="AD59" s="1"/>
    </row>
    <row r="60" spans="1:30" ht="13" x14ac:dyDescent="0.15">
      <c r="A60" s="9" t="s">
        <v>12</v>
      </c>
      <c r="B60" s="10"/>
      <c r="C60" s="10"/>
      <c r="D60" s="10"/>
      <c r="E60" s="10"/>
      <c r="F60" s="11"/>
      <c r="G60" s="1"/>
      <c r="H60" s="9" t="s">
        <v>42</v>
      </c>
      <c r="I60" s="10"/>
      <c r="J60" s="10"/>
      <c r="K60" s="11"/>
      <c r="L60" s="1"/>
      <c r="M60" s="9" t="s">
        <v>43</v>
      </c>
      <c r="N60" s="10"/>
      <c r="O60" s="10"/>
      <c r="P60" s="11"/>
      <c r="Q60" s="1"/>
      <c r="R60" s="9" t="s">
        <v>44</v>
      </c>
      <c r="S60" s="10"/>
      <c r="T60" s="10"/>
      <c r="U60" s="11"/>
      <c r="V60" s="1"/>
      <c r="W60" s="9" t="s">
        <v>48</v>
      </c>
      <c r="X60" s="10"/>
      <c r="Y60" s="10"/>
      <c r="Z60" s="11"/>
      <c r="AA60" s="1"/>
      <c r="AB60" s="1"/>
      <c r="AC60" s="1"/>
      <c r="AD60" s="1"/>
    </row>
    <row r="61" spans="1:30" ht="13" x14ac:dyDescent="0.15">
      <c r="A61" s="3" t="s">
        <v>2</v>
      </c>
      <c r="B61" s="3" t="s">
        <v>3</v>
      </c>
      <c r="C61" s="3" t="s">
        <v>4</v>
      </c>
      <c r="D61" s="3" t="s">
        <v>5</v>
      </c>
      <c r="E61" s="3" t="s">
        <v>6</v>
      </c>
      <c r="F61" s="3" t="s">
        <v>7</v>
      </c>
      <c r="G61" s="1"/>
      <c r="H61" s="3" t="s">
        <v>3</v>
      </c>
      <c r="I61" s="3" t="s">
        <v>4</v>
      </c>
      <c r="J61" s="3" t="s">
        <v>5</v>
      </c>
      <c r="K61" s="3" t="s">
        <v>6</v>
      </c>
      <c r="L61" s="1"/>
      <c r="M61" s="3" t="s">
        <v>3</v>
      </c>
      <c r="N61" s="3" t="s">
        <v>4</v>
      </c>
      <c r="O61" s="3" t="s">
        <v>5</v>
      </c>
      <c r="P61" s="3" t="s">
        <v>6</v>
      </c>
      <c r="Q61" s="1"/>
      <c r="R61" s="3" t="s">
        <v>3</v>
      </c>
      <c r="S61" s="3" t="s">
        <v>4</v>
      </c>
      <c r="T61" s="3" t="s">
        <v>5</v>
      </c>
      <c r="U61" s="3" t="s">
        <v>6</v>
      </c>
      <c r="V61" s="1"/>
      <c r="W61" s="3" t="s">
        <v>3</v>
      </c>
      <c r="X61" s="3" t="s">
        <v>4</v>
      </c>
      <c r="Y61" s="3" t="s">
        <v>5</v>
      </c>
      <c r="Z61" s="3" t="s">
        <v>6</v>
      </c>
      <c r="AA61" s="1"/>
      <c r="AB61" s="1"/>
      <c r="AC61" s="1"/>
      <c r="AD61" s="1"/>
    </row>
    <row r="62" spans="1:30" ht="13" x14ac:dyDescent="0.15">
      <c r="A62" s="4" t="s">
        <v>14</v>
      </c>
      <c r="B62" s="1">
        <f t="shared" ref="B62:E62" si="106">B3*$L$3</f>
        <v>14065</v>
      </c>
      <c r="C62" s="1">
        <f t="shared" si="106"/>
        <v>977.5</v>
      </c>
      <c r="D62" s="1">
        <f t="shared" si="106"/>
        <v>250</v>
      </c>
      <c r="E62" s="1">
        <f t="shared" si="106"/>
        <v>77.5</v>
      </c>
      <c r="F62" s="1">
        <v>85</v>
      </c>
      <c r="G62" s="1"/>
      <c r="H62" s="1">
        <f t="shared" ref="H62:H70" si="107">B62*$H$59</f>
        <v>1406.5</v>
      </c>
      <c r="I62" s="1">
        <f t="shared" ref="I62:I70" si="108">C62*$I$59</f>
        <v>97.75</v>
      </c>
      <c r="J62" s="1">
        <f t="shared" ref="J62:J70" si="109">D62*$J$59</f>
        <v>25</v>
      </c>
      <c r="K62" s="1">
        <f t="shared" ref="K62:K70" si="110">E62*$K$59</f>
        <v>7.75</v>
      </c>
      <c r="L62" s="1"/>
      <c r="M62" s="1">
        <f t="shared" ref="M62:M70" si="111">B62*$M$59</f>
        <v>4219.5</v>
      </c>
      <c r="N62" s="1">
        <f t="shared" ref="N62:N70" si="112">C62*$N$59</f>
        <v>293.25</v>
      </c>
      <c r="O62" s="1">
        <f t="shared" ref="O62:O70" si="113">D62*$O$59</f>
        <v>75</v>
      </c>
      <c r="P62" s="1">
        <f t="shared" ref="P62:P70" si="114">E62*$P$59</f>
        <v>19.375</v>
      </c>
      <c r="Q62" s="1"/>
      <c r="R62" s="1">
        <f t="shared" ref="R62:R70" si="115">B62*$R$59</f>
        <v>4219.5</v>
      </c>
      <c r="S62" s="1">
        <f t="shared" ref="S62:S70" si="116">C62*$S$59</f>
        <v>342.125</v>
      </c>
      <c r="T62" s="1">
        <f t="shared" ref="T62:T70" si="117">D62*$T$59</f>
        <v>100</v>
      </c>
      <c r="U62" s="1">
        <f t="shared" ref="U62:U70" si="118">E62*$U$59</f>
        <v>27.125</v>
      </c>
      <c r="V62" s="1"/>
      <c r="W62" s="1">
        <f t="shared" ref="W62:W70" si="119">B62*$W$59</f>
        <v>4219.5</v>
      </c>
      <c r="X62" s="1">
        <f t="shared" ref="X62:X70" si="120">C62*$X$59</f>
        <v>244.375</v>
      </c>
      <c r="Y62" s="1">
        <f t="shared" ref="Y62:Y70" si="121">D62*$Y$59</f>
        <v>50</v>
      </c>
      <c r="Z62" s="1">
        <f t="shared" ref="Z62:Z70" si="122">E62*$Z$59</f>
        <v>23.25</v>
      </c>
      <c r="AA62" s="1"/>
      <c r="AB62" s="1"/>
      <c r="AC62" s="1"/>
      <c r="AD62" s="1"/>
    </row>
    <row r="63" spans="1:30" ht="13" x14ac:dyDescent="0.15">
      <c r="A63" s="4" t="s">
        <v>15</v>
      </c>
      <c r="B63" s="1">
        <f t="shared" ref="B63:E63" si="123">B4*$L$3</f>
        <v>13717.5</v>
      </c>
      <c r="C63" s="1">
        <f t="shared" si="123"/>
        <v>910</v>
      </c>
      <c r="D63" s="1">
        <f t="shared" si="123"/>
        <v>350</v>
      </c>
      <c r="E63" s="1">
        <f t="shared" si="123"/>
        <v>75</v>
      </c>
      <c r="F63" s="1">
        <v>81</v>
      </c>
      <c r="G63" s="1"/>
      <c r="H63" s="1">
        <f t="shared" si="107"/>
        <v>1371.75</v>
      </c>
      <c r="I63" s="1">
        <f t="shared" si="108"/>
        <v>91</v>
      </c>
      <c r="J63" s="1">
        <f t="shared" si="109"/>
        <v>35</v>
      </c>
      <c r="K63" s="1">
        <f t="shared" si="110"/>
        <v>7.5</v>
      </c>
      <c r="L63" s="1"/>
      <c r="M63" s="1">
        <f t="shared" si="111"/>
        <v>4115.25</v>
      </c>
      <c r="N63" s="1">
        <f t="shared" si="112"/>
        <v>273</v>
      </c>
      <c r="O63" s="1">
        <f t="shared" si="113"/>
        <v>105</v>
      </c>
      <c r="P63" s="1">
        <f t="shared" si="114"/>
        <v>18.75</v>
      </c>
      <c r="Q63" s="1"/>
      <c r="R63" s="1">
        <f t="shared" si="115"/>
        <v>4115.25</v>
      </c>
      <c r="S63" s="1">
        <f t="shared" si="116"/>
        <v>318.5</v>
      </c>
      <c r="T63" s="1">
        <f t="shared" si="117"/>
        <v>140</v>
      </c>
      <c r="U63" s="1">
        <f t="shared" si="118"/>
        <v>26.25</v>
      </c>
      <c r="V63" s="1"/>
      <c r="W63" s="1">
        <f t="shared" si="119"/>
        <v>4115.25</v>
      </c>
      <c r="X63" s="1">
        <f t="shared" si="120"/>
        <v>227.5</v>
      </c>
      <c r="Y63" s="1">
        <f t="shared" si="121"/>
        <v>70</v>
      </c>
      <c r="Z63" s="1">
        <f t="shared" si="122"/>
        <v>22.5</v>
      </c>
      <c r="AA63" s="1"/>
      <c r="AB63" s="1"/>
      <c r="AC63" s="1"/>
      <c r="AD63" s="1"/>
    </row>
    <row r="64" spans="1:30" ht="13" x14ac:dyDescent="0.15">
      <c r="A64" s="4" t="s">
        <v>18</v>
      </c>
      <c r="B64" s="1">
        <f t="shared" ref="B64:E64" si="124">B5*$L$3</f>
        <v>15772.5</v>
      </c>
      <c r="C64" s="1">
        <f t="shared" si="124"/>
        <v>1407.5</v>
      </c>
      <c r="D64" s="1">
        <f t="shared" si="124"/>
        <v>710</v>
      </c>
      <c r="E64" s="1">
        <f t="shared" si="124"/>
        <v>132.5</v>
      </c>
      <c r="F64" s="1">
        <v>103</v>
      </c>
      <c r="G64" s="1"/>
      <c r="H64" s="1">
        <f t="shared" si="107"/>
        <v>1577.25</v>
      </c>
      <c r="I64" s="1">
        <f t="shared" si="108"/>
        <v>140.75</v>
      </c>
      <c r="J64" s="1">
        <f t="shared" si="109"/>
        <v>71</v>
      </c>
      <c r="K64" s="1">
        <f t="shared" si="110"/>
        <v>13.25</v>
      </c>
      <c r="L64" s="1"/>
      <c r="M64" s="1">
        <f t="shared" si="111"/>
        <v>4731.75</v>
      </c>
      <c r="N64" s="1">
        <f t="shared" si="112"/>
        <v>422.25</v>
      </c>
      <c r="O64" s="1">
        <f t="shared" si="113"/>
        <v>213</v>
      </c>
      <c r="P64" s="1">
        <f t="shared" si="114"/>
        <v>33.125</v>
      </c>
      <c r="Q64" s="1"/>
      <c r="R64" s="1">
        <f t="shared" si="115"/>
        <v>4731.75</v>
      </c>
      <c r="S64" s="1">
        <f t="shared" si="116"/>
        <v>492.62499999999994</v>
      </c>
      <c r="T64" s="1">
        <f t="shared" si="117"/>
        <v>284</v>
      </c>
      <c r="U64" s="1">
        <f t="shared" si="118"/>
        <v>46.375</v>
      </c>
      <c r="V64" s="1"/>
      <c r="W64" s="1">
        <f t="shared" si="119"/>
        <v>4731.75</v>
      </c>
      <c r="X64" s="1">
        <f t="shared" si="120"/>
        <v>351.875</v>
      </c>
      <c r="Y64" s="1">
        <f t="shared" si="121"/>
        <v>142</v>
      </c>
      <c r="Z64" s="1">
        <f t="shared" si="122"/>
        <v>39.75</v>
      </c>
      <c r="AA64" s="1"/>
      <c r="AB64" s="1"/>
      <c r="AC64" s="1"/>
      <c r="AD64" s="1"/>
    </row>
    <row r="65" spans="1:30" ht="13" x14ac:dyDescent="0.15">
      <c r="A65" s="4" t="s">
        <v>20</v>
      </c>
      <c r="B65" s="1">
        <f t="shared" ref="B65:E65" si="125">B6*$L$3</f>
        <v>15997.5</v>
      </c>
      <c r="C65" s="1">
        <f t="shared" si="125"/>
        <v>1745</v>
      </c>
      <c r="D65" s="1">
        <f t="shared" si="125"/>
        <v>890</v>
      </c>
      <c r="E65" s="1">
        <f t="shared" si="125"/>
        <v>177.5</v>
      </c>
      <c r="F65" s="1">
        <v>106</v>
      </c>
      <c r="G65" s="1"/>
      <c r="H65" s="1">
        <f t="shared" si="107"/>
        <v>1599.75</v>
      </c>
      <c r="I65" s="1">
        <f t="shared" si="108"/>
        <v>174.5</v>
      </c>
      <c r="J65" s="1">
        <f t="shared" si="109"/>
        <v>89</v>
      </c>
      <c r="K65" s="1">
        <f t="shared" si="110"/>
        <v>17.75</v>
      </c>
      <c r="L65" s="1"/>
      <c r="M65" s="1">
        <f t="shared" si="111"/>
        <v>4799.25</v>
      </c>
      <c r="N65" s="1">
        <f t="shared" si="112"/>
        <v>523.5</v>
      </c>
      <c r="O65" s="1">
        <f t="shared" si="113"/>
        <v>267</v>
      </c>
      <c r="P65" s="1">
        <f t="shared" si="114"/>
        <v>44.375</v>
      </c>
      <c r="Q65" s="1"/>
      <c r="R65" s="1">
        <f t="shared" si="115"/>
        <v>4799.25</v>
      </c>
      <c r="S65" s="1">
        <f t="shared" si="116"/>
        <v>610.75</v>
      </c>
      <c r="T65" s="1">
        <f t="shared" si="117"/>
        <v>356</v>
      </c>
      <c r="U65" s="1">
        <f t="shared" si="118"/>
        <v>62.124999999999993</v>
      </c>
      <c r="V65" s="1"/>
      <c r="W65" s="1">
        <f t="shared" si="119"/>
        <v>4799.25</v>
      </c>
      <c r="X65" s="1">
        <f t="shared" si="120"/>
        <v>436.25</v>
      </c>
      <c r="Y65" s="1">
        <f t="shared" si="121"/>
        <v>178</v>
      </c>
      <c r="Z65" s="1">
        <f t="shared" si="122"/>
        <v>53.25</v>
      </c>
      <c r="AA65" s="1"/>
      <c r="AB65" s="1"/>
      <c r="AC65" s="1"/>
      <c r="AD65" s="1"/>
    </row>
    <row r="66" spans="1:30" ht="13" x14ac:dyDescent="0.15">
      <c r="A66" s="4" t="s">
        <v>22</v>
      </c>
      <c r="B66" s="1">
        <f t="shared" ref="B66:E66" si="126">B7*$L$3</f>
        <v>16210</v>
      </c>
      <c r="C66" s="1">
        <f t="shared" si="126"/>
        <v>2982.5</v>
      </c>
      <c r="D66" s="1">
        <f t="shared" si="126"/>
        <v>2047.5</v>
      </c>
      <c r="E66" s="1">
        <f t="shared" si="126"/>
        <v>255</v>
      </c>
      <c r="F66" s="1">
        <v>106</v>
      </c>
      <c r="G66" s="1"/>
      <c r="H66" s="1">
        <f t="shared" si="107"/>
        <v>1621</v>
      </c>
      <c r="I66" s="1">
        <f t="shared" si="108"/>
        <v>298.25</v>
      </c>
      <c r="J66" s="1">
        <f t="shared" si="109"/>
        <v>204.75</v>
      </c>
      <c r="K66" s="1">
        <f t="shared" si="110"/>
        <v>25.5</v>
      </c>
      <c r="L66" s="1"/>
      <c r="M66" s="1">
        <f t="shared" si="111"/>
        <v>4863</v>
      </c>
      <c r="N66" s="1">
        <f t="shared" si="112"/>
        <v>894.75</v>
      </c>
      <c r="O66" s="1">
        <f t="shared" si="113"/>
        <v>614.25</v>
      </c>
      <c r="P66" s="1">
        <f t="shared" si="114"/>
        <v>63.75</v>
      </c>
      <c r="Q66" s="1"/>
      <c r="R66" s="1">
        <f t="shared" si="115"/>
        <v>4863</v>
      </c>
      <c r="S66" s="1">
        <f t="shared" si="116"/>
        <v>1043.875</v>
      </c>
      <c r="T66" s="1">
        <f t="shared" si="117"/>
        <v>819</v>
      </c>
      <c r="U66" s="1">
        <f t="shared" si="118"/>
        <v>89.25</v>
      </c>
      <c r="V66" s="1"/>
      <c r="W66" s="1">
        <f t="shared" si="119"/>
        <v>4863</v>
      </c>
      <c r="X66" s="1">
        <f t="shared" si="120"/>
        <v>745.625</v>
      </c>
      <c r="Y66" s="1">
        <f t="shared" si="121"/>
        <v>409.5</v>
      </c>
      <c r="Z66" s="1">
        <f t="shared" si="122"/>
        <v>76.5</v>
      </c>
      <c r="AA66" s="1"/>
      <c r="AB66" s="1"/>
      <c r="AC66" s="1"/>
      <c r="AD66" s="1"/>
    </row>
    <row r="67" spans="1:30" ht="13" x14ac:dyDescent="0.15">
      <c r="A67" s="4" t="s">
        <v>24</v>
      </c>
      <c r="B67" s="1">
        <f t="shared" ref="B67:E67" si="127">B8*$L$3</f>
        <v>15140</v>
      </c>
      <c r="C67" s="1">
        <f t="shared" si="127"/>
        <v>1652.5</v>
      </c>
      <c r="D67" s="1">
        <f t="shared" si="127"/>
        <v>672.5</v>
      </c>
      <c r="E67" s="1">
        <f t="shared" si="127"/>
        <v>217.5</v>
      </c>
      <c r="F67" s="1">
        <v>95</v>
      </c>
      <c r="G67" s="1"/>
      <c r="H67" s="1">
        <f t="shared" si="107"/>
        <v>1514</v>
      </c>
      <c r="I67" s="1">
        <f t="shared" si="108"/>
        <v>165.25</v>
      </c>
      <c r="J67" s="1">
        <f t="shared" si="109"/>
        <v>67.25</v>
      </c>
      <c r="K67" s="1">
        <f t="shared" si="110"/>
        <v>21.75</v>
      </c>
      <c r="L67" s="1"/>
      <c r="M67" s="1">
        <f t="shared" si="111"/>
        <v>4542</v>
      </c>
      <c r="N67" s="1">
        <f t="shared" si="112"/>
        <v>495.75</v>
      </c>
      <c r="O67" s="1">
        <f t="shared" si="113"/>
        <v>201.75</v>
      </c>
      <c r="P67" s="1">
        <f t="shared" si="114"/>
        <v>54.375</v>
      </c>
      <c r="Q67" s="1"/>
      <c r="R67" s="1">
        <f t="shared" si="115"/>
        <v>4542</v>
      </c>
      <c r="S67" s="1">
        <f t="shared" si="116"/>
        <v>578.375</v>
      </c>
      <c r="T67" s="1">
        <f t="shared" si="117"/>
        <v>269</v>
      </c>
      <c r="U67" s="1">
        <f t="shared" si="118"/>
        <v>76.125</v>
      </c>
      <c r="V67" s="1"/>
      <c r="W67" s="1">
        <f t="shared" si="119"/>
        <v>4542</v>
      </c>
      <c r="X67" s="1">
        <f t="shared" si="120"/>
        <v>413.125</v>
      </c>
      <c r="Y67" s="1">
        <f t="shared" si="121"/>
        <v>134.5</v>
      </c>
      <c r="Z67" s="1">
        <f t="shared" si="122"/>
        <v>65.25</v>
      </c>
      <c r="AA67" s="1"/>
      <c r="AB67" s="1"/>
      <c r="AC67" s="1"/>
      <c r="AD67" s="1"/>
    </row>
    <row r="68" spans="1:30" ht="13" x14ac:dyDescent="0.15">
      <c r="A68" s="4" t="s">
        <v>26</v>
      </c>
      <c r="B68" s="1">
        <f t="shared" ref="B68:E68" si="128">B9*$L$3</f>
        <v>16892.5</v>
      </c>
      <c r="C68" s="1">
        <f t="shared" si="128"/>
        <v>2687.5</v>
      </c>
      <c r="D68" s="1">
        <f t="shared" si="128"/>
        <v>1832.5</v>
      </c>
      <c r="E68" s="1">
        <f t="shared" si="128"/>
        <v>282.5</v>
      </c>
      <c r="F68" s="1">
        <v>112</v>
      </c>
      <c r="G68" s="1"/>
      <c r="H68" s="1">
        <f t="shared" si="107"/>
        <v>1689.25</v>
      </c>
      <c r="I68" s="1">
        <f t="shared" si="108"/>
        <v>268.75</v>
      </c>
      <c r="J68" s="1">
        <f t="shared" si="109"/>
        <v>183.25</v>
      </c>
      <c r="K68" s="1">
        <f t="shared" si="110"/>
        <v>28.25</v>
      </c>
      <c r="L68" s="1"/>
      <c r="M68" s="1">
        <f t="shared" si="111"/>
        <v>5067.75</v>
      </c>
      <c r="N68" s="1">
        <f t="shared" si="112"/>
        <v>806.25</v>
      </c>
      <c r="O68" s="1">
        <f t="shared" si="113"/>
        <v>549.75</v>
      </c>
      <c r="P68" s="1">
        <f t="shared" si="114"/>
        <v>70.625</v>
      </c>
      <c r="Q68" s="1"/>
      <c r="R68" s="1">
        <f t="shared" si="115"/>
        <v>5067.75</v>
      </c>
      <c r="S68" s="1">
        <f t="shared" si="116"/>
        <v>940.62499999999989</v>
      </c>
      <c r="T68" s="1">
        <f t="shared" si="117"/>
        <v>733</v>
      </c>
      <c r="U68" s="1">
        <f t="shared" si="118"/>
        <v>98.875</v>
      </c>
      <c r="V68" s="1"/>
      <c r="W68" s="1">
        <f t="shared" si="119"/>
        <v>5067.75</v>
      </c>
      <c r="X68" s="1">
        <f t="shared" si="120"/>
        <v>671.875</v>
      </c>
      <c r="Y68" s="1">
        <f t="shared" si="121"/>
        <v>366.5</v>
      </c>
      <c r="Z68" s="1">
        <f t="shared" si="122"/>
        <v>84.75</v>
      </c>
      <c r="AA68" s="1"/>
      <c r="AB68" s="1"/>
      <c r="AC68" s="1"/>
      <c r="AD68" s="1"/>
    </row>
    <row r="69" spans="1:30" ht="13" x14ac:dyDescent="0.15">
      <c r="A69" s="4" t="s">
        <v>28</v>
      </c>
      <c r="B69" s="1">
        <f t="shared" ref="B69:E69" si="129">B10*$L$3</f>
        <v>18462.5</v>
      </c>
      <c r="C69" s="1">
        <f t="shared" si="129"/>
        <v>3227.5</v>
      </c>
      <c r="D69" s="1">
        <f t="shared" si="129"/>
        <v>2585</v>
      </c>
      <c r="E69" s="1">
        <f t="shared" si="129"/>
        <v>262.5</v>
      </c>
      <c r="F69" s="1">
        <v>130</v>
      </c>
      <c r="G69" s="1"/>
      <c r="H69" s="1">
        <f t="shared" si="107"/>
        <v>1846.25</v>
      </c>
      <c r="I69" s="1">
        <f t="shared" si="108"/>
        <v>322.75</v>
      </c>
      <c r="J69" s="1">
        <f t="shared" si="109"/>
        <v>258.5</v>
      </c>
      <c r="K69" s="1">
        <f t="shared" si="110"/>
        <v>26.25</v>
      </c>
      <c r="L69" s="1"/>
      <c r="M69" s="1">
        <f t="shared" si="111"/>
        <v>5538.75</v>
      </c>
      <c r="N69" s="1">
        <f t="shared" si="112"/>
        <v>968.25</v>
      </c>
      <c r="O69" s="1">
        <f t="shared" si="113"/>
        <v>775.5</v>
      </c>
      <c r="P69" s="1">
        <f t="shared" si="114"/>
        <v>65.625</v>
      </c>
      <c r="Q69" s="1"/>
      <c r="R69" s="1">
        <f t="shared" si="115"/>
        <v>5538.75</v>
      </c>
      <c r="S69" s="1">
        <f t="shared" si="116"/>
        <v>1129.625</v>
      </c>
      <c r="T69" s="1">
        <f t="shared" si="117"/>
        <v>1034</v>
      </c>
      <c r="U69" s="1">
        <f t="shared" si="118"/>
        <v>91.875</v>
      </c>
      <c r="V69" s="1"/>
      <c r="W69" s="1">
        <f t="shared" si="119"/>
        <v>5538.75</v>
      </c>
      <c r="X69" s="1">
        <f t="shared" si="120"/>
        <v>806.875</v>
      </c>
      <c r="Y69" s="1">
        <f t="shared" si="121"/>
        <v>517</v>
      </c>
      <c r="Z69" s="1">
        <f t="shared" si="122"/>
        <v>78.75</v>
      </c>
      <c r="AA69" s="1"/>
      <c r="AB69" s="1"/>
      <c r="AC69" s="1"/>
      <c r="AD69" s="1"/>
    </row>
    <row r="70" spans="1:30" ht="13" x14ac:dyDescent="0.15">
      <c r="A70" s="4" t="s">
        <v>30</v>
      </c>
      <c r="B70" s="1">
        <f t="shared" ref="B70:E70" si="130">B11*$L$3</f>
        <v>17825</v>
      </c>
      <c r="C70" s="1">
        <f t="shared" si="130"/>
        <v>2737.5</v>
      </c>
      <c r="D70" s="1">
        <f t="shared" si="130"/>
        <v>2015</v>
      </c>
      <c r="E70" s="1">
        <f t="shared" si="130"/>
        <v>232.5</v>
      </c>
      <c r="F70" s="1">
        <v>121</v>
      </c>
      <c r="G70" s="1"/>
      <c r="H70" s="1">
        <f t="shared" si="107"/>
        <v>1782.5</v>
      </c>
      <c r="I70" s="1">
        <f t="shared" si="108"/>
        <v>273.75</v>
      </c>
      <c r="J70" s="1">
        <f t="shared" si="109"/>
        <v>201.5</v>
      </c>
      <c r="K70" s="1">
        <f t="shared" si="110"/>
        <v>23.25</v>
      </c>
      <c r="L70" s="1"/>
      <c r="M70" s="1">
        <f t="shared" si="111"/>
        <v>5347.5</v>
      </c>
      <c r="N70" s="1">
        <f t="shared" si="112"/>
        <v>821.25</v>
      </c>
      <c r="O70" s="1">
        <f t="shared" si="113"/>
        <v>604.5</v>
      </c>
      <c r="P70" s="1">
        <f t="shared" si="114"/>
        <v>58.125</v>
      </c>
      <c r="Q70" s="1"/>
      <c r="R70" s="1">
        <f t="shared" si="115"/>
        <v>5347.5</v>
      </c>
      <c r="S70" s="1">
        <f t="shared" si="116"/>
        <v>958.12499999999989</v>
      </c>
      <c r="T70" s="1">
        <f t="shared" si="117"/>
        <v>806</v>
      </c>
      <c r="U70" s="1">
        <f t="shared" si="118"/>
        <v>81.375</v>
      </c>
      <c r="V70" s="1"/>
      <c r="W70" s="1">
        <f t="shared" si="119"/>
        <v>5347.5</v>
      </c>
      <c r="X70" s="1">
        <f t="shared" si="120"/>
        <v>684.375</v>
      </c>
      <c r="Y70" s="1">
        <f t="shared" si="121"/>
        <v>403</v>
      </c>
      <c r="Z70" s="1">
        <f t="shared" si="122"/>
        <v>69.75</v>
      </c>
      <c r="AA70" s="1"/>
      <c r="AB70" s="1"/>
      <c r="AC70" s="1"/>
      <c r="AD70" s="1"/>
    </row>
    <row r="71" spans="1:30" ht="13" x14ac:dyDescent="0.15">
      <c r="A71" s="2"/>
      <c r="B71" s="2"/>
      <c r="C71" s="2"/>
      <c r="D71" s="2"/>
      <c r="E71" s="2"/>
      <c r="F71" s="2"/>
      <c r="G71" s="1"/>
      <c r="H71" s="1">
        <v>0.1</v>
      </c>
      <c r="I71" s="1">
        <v>0.05</v>
      </c>
      <c r="J71" s="1">
        <v>0.02</v>
      </c>
      <c r="K71" s="1">
        <v>0.05</v>
      </c>
      <c r="L71" s="1"/>
      <c r="M71" s="1">
        <v>0.3</v>
      </c>
      <c r="N71" s="1">
        <v>0.35</v>
      </c>
      <c r="O71" s="1">
        <v>0.28000000000000003</v>
      </c>
      <c r="P71" s="1">
        <v>0.35</v>
      </c>
      <c r="Q71" s="1"/>
      <c r="R71" s="1">
        <v>0.25</v>
      </c>
      <c r="S71" s="1">
        <v>0.25</v>
      </c>
      <c r="T71" s="1">
        <v>0.3</v>
      </c>
      <c r="U71" s="1">
        <v>0.25</v>
      </c>
      <c r="V71" s="1"/>
      <c r="W71" s="1">
        <v>0.35</v>
      </c>
      <c r="X71" s="1">
        <v>0.35</v>
      </c>
      <c r="Y71" s="1">
        <v>0.4</v>
      </c>
      <c r="Z71" s="1">
        <v>0.35</v>
      </c>
      <c r="AA71" s="1"/>
      <c r="AB71" s="1"/>
      <c r="AC71" s="1"/>
      <c r="AD71" s="1"/>
    </row>
    <row r="72" spans="1:30" ht="13" x14ac:dyDescent="0.15">
      <c r="A72" s="9" t="s">
        <v>13</v>
      </c>
      <c r="B72" s="10"/>
      <c r="C72" s="10"/>
      <c r="D72" s="10"/>
      <c r="E72" s="10"/>
      <c r="F72" s="11"/>
      <c r="G72" s="1"/>
      <c r="H72" s="9" t="s">
        <v>42</v>
      </c>
      <c r="I72" s="10"/>
      <c r="J72" s="10"/>
      <c r="K72" s="11"/>
      <c r="L72" s="1"/>
      <c r="M72" s="9" t="s">
        <v>43</v>
      </c>
      <c r="N72" s="10"/>
      <c r="O72" s="10"/>
      <c r="P72" s="11"/>
      <c r="Q72" s="1"/>
      <c r="R72" s="9" t="s">
        <v>44</v>
      </c>
      <c r="S72" s="10"/>
      <c r="T72" s="10"/>
      <c r="U72" s="11"/>
      <c r="V72" s="1"/>
      <c r="W72" s="9" t="s">
        <v>50</v>
      </c>
      <c r="X72" s="10"/>
      <c r="Y72" s="10"/>
      <c r="Z72" s="11"/>
      <c r="AA72" s="1"/>
      <c r="AB72" s="1"/>
      <c r="AC72" s="1"/>
      <c r="AD72" s="1"/>
    </row>
    <row r="73" spans="1:30" ht="13" x14ac:dyDescent="0.15">
      <c r="A73" s="3" t="s">
        <v>2</v>
      </c>
      <c r="B73" s="3" t="s">
        <v>3</v>
      </c>
      <c r="C73" s="3" t="s">
        <v>4</v>
      </c>
      <c r="D73" s="3" t="s">
        <v>5</v>
      </c>
      <c r="E73" s="3" t="s">
        <v>6</v>
      </c>
      <c r="F73" s="3" t="s">
        <v>7</v>
      </c>
      <c r="G73" s="1"/>
      <c r="H73" s="3" t="s">
        <v>3</v>
      </c>
      <c r="I73" s="3" t="s">
        <v>4</v>
      </c>
      <c r="J73" s="3" t="s">
        <v>5</v>
      </c>
      <c r="K73" s="3" t="s">
        <v>6</v>
      </c>
      <c r="L73" s="1"/>
      <c r="M73" s="3" t="s">
        <v>3</v>
      </c>
      <c r="N73" s="3" t="s">
        <v>4</v>
      </c>
      <c r="O73" s="3" t="s">
        <v>5</v>
      </c>
      <c r="P73" s="3" t="s">
        <v>6</v>
      </c>
      <c r="Q73" s="1"/>
      <c r="R73" s="3" t="s">
        <v>3</v>
      </c>
      <c r="S73" s="3" t="s">
        <v>4</v>
      </c>
      <c r="T73" s="3" t="s">
        <v>5</v>
      </c>
      <c r="U73" s="3" t="s">
        <v>6</v>
      </c>
      <c r="V73" s="1"/>
      <c r="W73" s="3" t="s">
        <v>3</v>
      </c>
      <c r="X73" s="3" t="s">
        <v>4</v>
      </c>
      <c r="Y73" s="3" t="s">
        <v>5</v>
      </c>
      <c r="Z73" s="3" t="s">
        <v>6</v>
      </c>
      <c r="AA73" s="1"/>
      <c r="AB73" s="1"/>
      <c r="AC73" s="1"/>
      <c r="AD73" s="1"/>
    </row>
    <row r="74" spans="1:30" ht="13" x14ac:dyDescent="0.15">
      <c r="A74" s="4" t="s">
        <v>14</v>
      </c>
      <c r="B74" s="1">
        <f t="shared" ref="B74:E74" si="131">B3*$M$3</f>
        <v>14627.6</v>
      </c>
      <c r="C74" s="1">
        <f t="shared" si="131"/>
        <v>1016.6</v>
      </c>
      <c r="D74" s="1">
        <f t="shared" si="131"/>
        <v>260</v>
      </c>
      <c r="E74" s="1">
        <f t="shared" si="131"/>
        <v>80.600000000000009</v>
      </c>
      <c r="F74" s="1">
        <v>85</v>
      </c>
      <c r="G74" s="1"/>
      <c r="H74" s="1">
        <f t="shared" ref="H74:H82" si="132">B74*$H$71</f>
        <v>1462.7600000000002</v>
      </c>
      <c r="I74" s="1">
        <f t="shared" ref="I74:I82" si="133">C74*$I$71</f>
        <v>50.830000000000005</v>
      </c>
      <c r="J74" s="1">
        <f t="shared" ref="J74:J82" si="134">D74*$J$71</f>
        <v>5.2</v>
      </c>
      <c r="K74" s="1">
        <f t="shared" ref="K74:K82" si="135">E74*$K$71</f>
        <v>4.03</v>
      </c>
      <c r="L74" s="1"/>
      <c r="M74" s="1">
        <f t="shared" ref="M74:M82" si="136">B74*$M$71</f>
        <v>4388.28</v>
      </c>
      <c r="N74" s="1">
        <f t="shared" ref="N74:N82" si="137">C74*$N$71</f>
        <v>355.81</v>
      </c>
      <c r="O74" s="1">
        <f t="shared" ref="O74:O82" si="138">D74*$O$71</f>
        <v>72.800000000000011</v>
      </c>
      <c r="P74" s="1">
        <f t="shared" ref="P74:P82" si="139">E74*$P$71</f>
        <v>28.21</v>
      </c>
      <c r="Q74" s="1"/>
      <c r="R74" s="1">
        <f t="shared" ref="R74:R82" si="140">B74*$R$71</f>
        <v>3656.9</v>
      </c>
      <c r="S74" s="1">
        <f t="shared" ref="S74:S82" si="141">C74*$S$71</f>
        <v>254.15</v>
      </c>
      <c r="T74" s="1">
        <f t="shared" ref="T74:T82" si="142">D74*$T$71</f>
        <v>78</v>
      </c>
      <c r="U74" s="1">
        <f t="shared" ref="U74:U82" si="143">E74*$U$71</f>
        <v>20.150000000000002</v>
      </c>
      <c r="V74" s="1"/>
      <c r="W74" s="1">
        <f t="shared" ref="W74:W82" si="144">B74*$W$71</f>
        <v>5119.66</v>
      </c>
      <c r="X74" s="1">
        <f t="shared" ref="X74:X82" si="145">C74*$X$71</f>
        <v>355.81</v>
      </c>
      <c r="Y74" s="1">
        <f t="shared" ref="Y74:Y82" si="146">D74*$Y$71</f>
        <v>104</v>
      </c>
      <c r="Z74" s="1">
        <f t="shared" ref="Z74:Z82" si="147">E74*$Z$71</f>
        <v>28.21</v>
      </c>
      <c r="AA74" s="1"/>
      <c r="AB74" s="1"/>
      <c r="AC74" s="1"/>
      <c r="AD74" s="1"/>
    </row>
    <row r="75" spans="1:30" ht="13" x14ac:dyDescent="0.15">
      <c r="A75" s="4" t="s">
        <v>15</v>
      </c>
      <c r="B75" s="1">
        <f t="shared" ref="B75:E75" si="148">B4*$M$3</f>
        <v>14266.2</v>
      </c>
      <c r="C75" s="1">
        <f t="shared" si="148"/>
        <v>946.4</v>
      </c>
      <c r="D75" s="1">
        <f t="shared" si="148"/>
        <v>364</v>
      </c>
      <c r="E75" s="1">
        <f t="shared" si="148"/>
        <v>78</v>
      </c>
      <c r="F75" s="1">
        <v>81</v>
      </c>
      <c r="G75" s="1"/>
      <c r="H75" s="1">
        <f t="shared" si="132"/>
        <v>1426.6200000000001</v>
      </c>
      <c r="I75" s="1">
        <f t="shared" si="133"/>
        <v>47.32</v>
      </c>
      <c r="J75" s="1">
        <f t="shared" si="134"/>
        <v>7.28</v>
      </c>
      <c r="K75" s="1">
        <f t="shared" si="135"/>
        <v>3.9000000000000004</v>
      </c>
      <c r="L75" s="1"/>
      <c r="M75" s="1">
        <f t="shared" si="136"/>
        <v>4279.8599999999997</v>
      </c>
      <c r="N75" s="1">
        <f t="shared" si="137"/>
        <v>331.23999999999995</v>
      </c>
      <c r="O75" s="1">
        <f t="shared" si="138"/>
        <v>101.92000000000002</v>
      </c>
      <c r="P75" s="1">
        <f t="shared" si="139"/>
        <v>27.299999999999997</v>
      </c>
      <c r="Q75" s="1"/>
      <c r="R75" s="1">
        <f t="shared" si="140"/>
        <v>3566.55</v>
      </c>
      <c r="S75" s="1">
        <f t="shared" si="141"/>
        <v>236.6</v>
      </c>
      <c r="T75" s="1">
        <f t="shared" si="142"/>
        <v>109.2</v>
      </c>
      <c r="U75" s="1">
        <f t="shared" si="143"/>
        <v>19.5</v>
      </c>
      <c r="V75" s="1"/>
      <c r="W75" s="1">
        <f t="shared" si="144"/>
        <v>4993.17</v>
      </c>
      <c r="X75" s="1">
        <f t="shared" si="145"/>
        <v>331.23999999999995</v>
      </c>
      <c r="Y75" s="1">
        <f t="shared" si="146"/>
        <v>145.6</v>
      </c>
      <c r="Z75" s="1">
        <f t="shared" si="147"/>
        <v>27.299999999999997</v>
      </c>
      <c r="AA75" s="1"/>
      <c r="AB75" s="1"/>
      <c r="AC75" s="1"/>
      <c r="AD75" s="1"/>
    </row>
    <row r="76" spans="1:30" ht="13" x14ac:dyDescent="0.15">
      <c r="A76" s="4" t="s">
        <v>18</v>
      </c>
      <c r="B76" s="1">
        <f t="shared" ref="B76:E76" si="149">B5*$M$3</f>
        <v>16403.400000000001</v>
      </c>
      <c r="C76" s="1">
        <f t="shared" si="149"/>
        <v>1463.8</v>
      </c>
      <c r="D76" s="1">
        <f t="shared" si="149"/>
        <v>738.4</v>
      </c>
      <c r="E76" s="1">
        <f t="shared" si="149"/>
        <v>137.80000000000001</v>
      </c>
      <c r="F76" s="1">
        <v>103</v>
      </c>
      <c r="G76" s="1"/>
      <c r="H76" s="1">
        <f t="shared" si="132"/>
        <v>1640.3400000000001</v>
      </c>
      <c r="I76" s="1">
        <f t="shared" si="133"/>
        <v>73.19</v>
      </c>
      <c r="J76" s="1">
        <f t="shared" si="134"/>
        <v>14.768000000000001</v>
      </c>
      <c r="K76" s="1">
        <f t="shared" si="135"/>
        <v>6.8900000000000006</v>
      </c>
      <c r="L76" s="1"/>
      <c r="M76" s="1">
        <f t="shared" si="136"/>
        <v>4921.0200000000004</v>
      </c>
      <c r="N76" s="1">
        <f t="shared" si="137"/>
        <v>512.32999999999993</v>
      </c>
      <c r="O76" s="1">
        <f t="shared" si="138"/>
        <v>206.75200000000001</v>
      </c>
      <c r="P76" s="1">
        <f t="shared" si="139"/>
        <v>48.230000000000004</v>
      </c>
      <c r="Q76" s="1"/>
      <c r="R76" s="1">
        <f t="shared" si="140"/>
        <v>4100.8500000000004</v>
      </c>
      <c r="S76" s="1">
        <f t="shared" si="141"/>
        <v>365.95</v>
      </c>
      <c r="T76" s="1">
        <f t="shared" si="142"/>
        <v>221.51999999999998</v>
      </c>
      <c r="U76" s="1">
        <f t="shared" si="143"/>
        <v>34.450000000000003</v>
      </c>
      <c r="V76" s="1"/>
      <c r="W76" s="1">
        <f t="shared" si="144"/>
        <v>5741.1900000000005</v>
      </c>
      <c r="X76" s="1">
        <f t="shared" si="145"/>
        <v>512.32999999999993</v>
      </c>
      <c r="Y76" s="1">
        <f t="shared" si="146"/>
        <v>295.36</v>
      </c>
      <c r="Z76" s="1">
        <f t="shared" si="147"/>
        <v>48.230000000000004</v>
      </c>
      <c r="AA76" s="1"/>
      <c r="AB76" s="1"/>
      <c r="AC76" s="1"/>
      <c r="AD76" s="1"/>
    </row>
    <row r="77" spans="1:30" ht="13" x14ac:dyDescent="0.15">
      <c r="A77" s="4" t="s">
        <v>20</v>
      </c>
      <c r="B77" s="1">
        <f t="shared" ref="B77:E77" si="150">B6*$M$3</f>
        <v>16637.400000000001</v>
      </c>
      <c r="C77" s="1">
        <f t="shared" si="150"/>
        <v>1814.8</v>
      </c>
      <c r="D77" s="1">
        <f t="shared" si="150"/>
        <v>925.6</v>
      </c>
      <c r="E77" s="1">
        <f t="shared" si="150"/>
        <v>184.6</v>
      </c>
      <c r="F77" s="1">
        <v>106</v>
      </c>
      <c r="G77" s="1"/>
      <c r="H77" s="1">
        <f t="shared" si="132"/>
        <v>1663.7400000000002</v>
      </c>
      <c r="I77" s="1">
        <f t="shared" si="133"/>
        <v>90.740000000000009</v>
      </c>
      <c r="J77" s="1">
        <f t="shared" si="134"/>
        <v>18.512</v>
      </c>
      <c r="K77" s="1">
        <f t="shared" si="135"/>
        <v>9.23</v>
      </c>
      <c r="L77" s="1"/>
      <c r="M77" s="1">
        <f t="shared" si="136"/>
        <v>4991.22</v>
      </c>
      <c r="N77" s="1">
        <f t="shared" si="137"/>
        <v>635.17999999999995</v>
      </c>
      <c r="O77" s="1">
        <f t="shared" si="138"/>
        <v>259.16800000000001</v>
      </c>
      <c r="P77" s="1">
        <f t="shared" si="139"/>
        <v>64.61</v>
      </c>
      <c r="Q77" s="1"/>
      <c r="R77" s="1">
        <f t="shared" si="140"/>
        <v>4159.3500000000004</v>
      </c>
      <c r="S77" s="1">
        <f t="shared" si="141"/>
        <v>453.7</v>
      </c>
      <c r="T77" s="1">
        <f t="shared" si="142"/>
        <v>277.68</v>
      </c>
      <c r="U77" s="1">
        <f t="shared" si="143"/>
        <v>46.15</v>
      </c>
      <c r="V77" s="1"/>
      <c r="W77" s="1">
        <f t="shared" si="144"/>
        <v>5823.09</v>
      </c>
      <c r="X77" s="1">
        <f t="shared" si="145"/>
        <v>635.17999999999995</v>
      </c>
      <c r="Y77" s="1">
        <f t="shared" si="146"/>
        <v>370.24</v>
      </c>
      <c r="Z77" s="1">
        <f t="shared" si="147"/>
        <v>64.61</v>
      </c>
      <c r="AA77" s="1"/>
      <c r="AB77" s="1"/>
      <c r="AC77" s="1"/>
      <c r="AD77" s="1"/>
    </row>
    <row r="78" spans="1:30" ht="13" x14ac:dyDescent="0.15">
      <c r="A78" s="4" t="s">
        <v>22</v>
      </c>
      <c r="B78" s="1">
        <f t="shared" ref="B78:E78" si="151">B7*$M$3</f>
        <v>16858.400000000001</v>
      </c>
      <c r="C78" s="1">
        <f t="shared" si="151"/>
        <v>3101.8</v>
      </c>
      <c r="D78" s="1">
        <f t="shared" si="151"/>
        <v>2129.4</v>
      </c>
      <c r="E78" s="1">
        <f t="shared" si="151"/>
        <v>265.2</v>
      </c>
      <c r="F78" s="1">
        <v>106</v>
      </c>
      <c r="G78" s="1"/>
      <c r="H78" s="1">
        <f t="shared" si="132"/>
        <v>1685.8400000000001</v>
      </c>
      <c r="I78" s="1">
        <f t="shared" si="133"/>
        <v>155.09000000000003</v>
      </c>
      <c r="J78" s="1">
        <f t="shared" si="134"/>
        <v>42.588000000000001</v>
      </c>
      <c r="K78" s="1">
        <f t="shared" si="135"/>
        <v>13.26</v>
      </c>
      <c r="L78" s="1"/>
      <c r="M78" s="1">
        <f t="shared" si="136"/>
        <v>5057.5200000000004</v>
      </c>
      <c r="N78" s="1">
        <f t="shared" si="137"/>
        <v>1085.6299999999999</v>
      </c>
      <c r="O78" s="1">
        <f t="shared" si="138"/>
        <v>596.23200000000008</v>
      </c>
      <c r="P78" s="1">
        <f t="shared" si="139"/>
        <v>92.82</v>
      </c>
      <c r="Q78" s="1"/>
      <c r="R78" s="1">
        <f t="shared" si="140"/>
        <v>4214.6000000000004</v>
      </c>
      <c r="S78" s="1">
        <f t="shared" si="141"/>
        <v>775.45</v>
      </c>
      <c r="T78" s="1">
        <f t="shared" si="142"/>
        <v>638.82000000000005</v>
      </c>
      <c r="U78" s="1">
        <f t="shared" si="143"/>
        <v>66.3</v>
      </c>
      <c r="V78" s="1"/>
      <c r="W78" s="1">
        <f t="shared" si="144"/>
        <v>5900.4400000000005</v>
      </c>
      <c r="X78" s="1">
        <f t="shared" si="145"/>
        <v>1085.6299999999999</v>
      </c>
      <c r="Y78" s="1">
        <f t="shared" si="146"/>
        <v>851.7600000000001</v>
      </c>
      <c r="Z78" s="1">
        <f t="shared" si="147"/>
        <v>92.82</v>
      </c>
      <c r="AA78" s="1"/>
      <c r="AB78" s="1"/>
      <c r="AC78" s="1"/>
      <c r="AD78" s="1"/>
    </row>
    <row r="79" spans="1:30" ht="13" x14ac:dyDescent="0.15">
      <c r="A79" s="4" t="s">
        <v>24</v>
      </c>
      <c r="B79" s="1">
        <f t="shared" ref="B79:E79" si="152">B8*$M$3</f>
        <v>15745.6</v>
      </c>
      <c r="C79" s="1">
        <f t="shared" si="152"/>
        <v>1718.6000000000001</v>
      </c>
      <c r="D79" s="1">
        <f t="shared" si="152"/>
        <v>699.4</v>
      </c>
      <c r="E79" s="1">
        <f t="shared" si="152"/>
        <v>226.20000000000002</v>
      </c>
      <c r="F79" s="1">
        <v>95</v>
      </c>
      <c r="G79" s="1"/>
      <c r="H79" s="1">
        <f t="shared" si="132"/>
        <v>1574.5600000000002</v>
      </c>
      <c r="I79" s="1">
        <f t="shared" si="133"/>
        <v>85.93</v>
      </c>
      <c r="J79" s="1">
        <f t="shared" si="134"/>
        <v>13.988</v>
      </c>
      <c r="K79" s="1">
        <f t="shared" si="135"/>
        <v>11.310000000000002</v>
      </c>
      <c r="L79" s="1"/>
      <c r="M79" s="1">
        <f t="shared" si="136"/>
        <v>4723.68</v>
      </c>
      <c r="N79" s="1">
        <f t="shared" si="137"/>
        <v>601.51</v>
      </c>
      <c r="O79" s="1">
        <f t="shared" si="138"/>
        <v>195.83200000000002</v>
      </c>
      <c r="P79" s="1">
        <f t="shared" si="139"/>
        <v>79.17</v>
      </c>
      <c r="Q79" s="1"/>
      <c r="R79" s="1">
        <f t="shared" si="140"/>
        <v>3936.4</v>
      </c>
      <c r="S79" s="1">
        <f t="shared" si="141"/>
        <v>429.65000000000003</v>
      </c>
      <c r="T79" s="1">
        <f t="shared" si="142"/>
        <v>209.82</v>
      </c>
      <c r="U79" s="1">
        <f t="shared" si="143"/>
        <v>56.550000000000004</v>
      </c>
      <c r="V79" s="1"/>
      <c r="W79" s="1">
        <f t="shared" si="144"/>
        <v>5510.96</v>
      </c>
      <c r="X79" s="1">
        <f t="shared" si="145"/>
        <v>601.51</v>
      </c>
      <c r="Y79" s="1">
        <f t="shared" si="146"/>
        <v>279.76</v>
      </c>
      <c r="Z79" s="1">
        <f t="shared" si="147"/>
        <v>79.17</v>
      </c>
      <c r="AA79" s="1"/>
      <c r="AB79" s="1"/>
      <c r="AC79" s="1"/>
      <c r="AD79" s="1"/>
    </row>
    <row r="80" spans="1:30" ht="13" x14ac:dyDescent="0.15">
      <c r="A80" s="4" t="s">
        <v>26</v>
      </c>
      <c r="B80" s="1">
        <f t="shared" ref="B80:E80" si="153">B9*$M$3</f>
        <v>17568.2</v>
      </c>
      <c r="C80" s="1">
        <f t="shared" si="153"/>
        <v>2795</v>
      </c>
      <c r="D80" s="1">
        <f t="shared" si="153"/>
        <v>1905.8</v>
      </c>
      <c r="E80" s="1">
        <f t="shared" si="153"/>
        <v>293.8</v>
      </c>
      <c r="F80" s="1">
        <v>112</v>
      </c>
      <c r="G80" s="1"/>
      <c r="H80" s="1">
        <f t="shared" si="132"/>
        <v>1756.8200000000002</v>
      </c>
      <c r="I80" s="1">
        <f t="shared" si="133"/>
        <v>139.75</v>
      </c>
      <c r="J80" s="1">
        <f t="shared" si="134"/>
        <v>38.116</v>
      </c>
      <c r="K80" s="1">
        <f t="shared" si="135"/>
        <v>14.690000000000001</v>
      </c>
      <c r="L80" s="1"/>
      <c r="M80" s="1">
        <f t="shared" si="136"/>
        <v>5270.46</v>
      </c>
      <c r="N80" s="1">
        <f t="shared" si="137"/>
        <v>978.24999999999989</v>
      </c>
      <c r="O80" s="1">
        <f t="shared" si="138"/>
        <v>533.62400000000002</v>
      </c>
      <c r="P80" s="1">
        <f t="shared" si="139"/>
        <v>102.83</v>
      </c>
      <c r="Q80" s="1"/>
      <c r="R80" s="1">
        <f t="shared" si="140"/>
        <v>4392.05</v>
      </c>
      <c r="S80" s="1">
        <f t="shared" si="141"/>
        <v>698.75</v>
      </c>
      <c r="T80" s="1">
        <f t="shared" si="142"/>
        <v>571.74</v>
      </c>
      <c r="U80" s="1">
        <f t="shared" si="143"/>
        <v>73.45</v>
      </c>
      <c r="V80" s="1"/>
      <c r="W80" s="1">
        <f t="shared" si="144"/>
        <v>6148.87</v>
      </c>
      <c r="X80" s="1">
        <f t="shared" si="145"/>
        <v>978.24999999999989</v>
      </c>
      <c r="Y80" s="1">
        <f t="shared" si="146"/>
        <v>762.32</v>
      </c>
      <c r="Z80" s="1">
        <f t="shared" si="147"/>
        <v>102.83</v>
      </c>
      <c r="AA80" s="1"/>
      <c r="AB80" s="1"/>
      <c r="AC80" s="1"/>
      <c r="AD80" s="1"/>
    </row>
    <row r="81" spans="1:30" ht="13" x14ac:dyDescent="0.15">
      <c r="A81" s="4" t="s">
        <v>28</v>
      </c>
      <c r="B81" s="1">
        <f t="shared" ref="B81:E81" si="154">B10*$M$3</f>
        <v>19201</v>
      </c>
      <c r="C81" s="1">
        <f t="shared" si="154"/>
        <v>3356.6</v>
      </c>
      <c r="D81" s="1">
        <f t="shared" si="154"/>
        <v>2688.4</v>
      </c>
      <c r="E81" s="1">
        <f t="shared" si="154"/>
        <v>273</v>
      </c>
      <c r="F81" s="1">
        <v>130</v>
      </c>
      <c r="G81" s="1"/>
      <c r="H81" s="1">
        <f t="shared" si="132"/>
        <v>1920.1000000000001</v>
      </c>
      <c r="I81" s="1">
        <f t="shared" si="133"/>
        <v>167.83</v>
      </c>
      <c r="J81" s="1">
        <f t="shared" si="134"/>
        <v>53.768000000000001</v>
      </c>
      <c r="K81" s="1">
        <f t="shared" si="135"/>
        <v>13.65</v>
      </c>
      <c r="L81" s="1"/>
      <c r="M81" s="1">
        <f t="shared" si="136"/>
        <v>5760.3</v>
      </c>
      <c r="N81" s="1">
        <f t="shared" si="137"/>
        <v>1174.81</v>
      </c>
      <c r="O81" s="1">
        <f t="shared" si="138"/>
        <v>752.75200000000007</v>
      </c>
      <c r="P81" s="1">
        <f t="shared" si="139"/>
        <v>95.55</v>
      </c>
      <c r="Q81" s="1"/>
      <c r="R81" s="1">
        <f t="shared" si="140"/>
        <v>4800.25</v>
      </c>
      <c r="S81" s="1">
        <f t="shared" si="141"/>
        <v>839.15</v>
      </c>
      <c r="T81" s="1">
        <f t="shared" si="142"/>
        <v>806.52</v>
      </c>
      <c r="U81" s="1">
        <f t="shared" si="143"/>
        <v>68.25</v>
      </c>
      <c r="V81" s="1"/>
      <c r="W81" s="1">
        <f t="shared" si="144"/>
        <v>6720.3499999999995</v>
      </c>
      <c r="X81" s="1">
        <f t="shared" si="145"/>
        <v>1174.81</v>
      </c>
      <c r="Y81" s="1">
        <f t="shared" si="146"/>
        <v>1075.3600000000001</v>
      </c>
      <c r="Z81" s="1">
        <f t="shared" si="147"/>
        <v>95.55</v>
      </c>
      <c r="AA81" s="1"/>
      <c r="AB81" s="1"/>
      <c r="AC81" s="1"/>
      <c r="AD81" s="1"/>
    </row>
    <row r="82" spans="1:30" ht="13" x14ac:dyDescent="0.15">
      <c r="A82" s="4" t="s">
        <v>30</v>
      </c>
      <c r="B82" s="1">
        <f t="shared" ref="B82:E82" si="155">B11*$M$3</f>
        <v>18538</v>
      </c>
      <c r="C82" s="1">
        <f t="shared" si="155"/>
        <v>2847</v>
      </c>
      <c r="D82" s="1">
        <f t="shared" si="155"/>
        <v>2095.6</v>
      </c>
      <c r="E82" s="1">
        <f t="shared" si="155"/>
        <v>241.8</v>
      </c>
      <c r="F82" s="1">
        <v>121</v>
      </c>
      <c r="G82" s="1"/>
      <c r="H82" s="1">
        <f t="shared" si="132"/>
        <v>1853.8000000000002</v>
      </c>
      <c r="I82" s="1">
        <f t="shared" si="133"/>
        <v>142.35</v>
      </c>
      <c r="J82" s="1">
        <f t="shared" si="134"/>
        <v>41.911999999999999</v>
      </c>
      <c r="K82" s="1">
        <f t="shared" si="135"/>
        <v>12.090000000000002</v>
      </c>
      <c r="L82" s="1"/>
      <c r="M82" s="1">
        <f t="shared" si="136"/>
        <v>5561.4</v>
      </c>
      <c r="N82" s="1">
        <f t="shared" si="137"/>
        <v>996.44999999999993</v>
      </c>
      <c r="O82" s="1">
        <f t="shared" si="138"/>
        <v>586.76800000000003</v>
      </c>
      <c r="P82" s="1">
        <f t="shared" si="139"/>
        <v>84.63</v>
      </c>
      <c r="Q82" s="1"/>
      <c r="R82" s="1">
        <f t="shared" si="140"/>
        <v>4634.5</v>
      </c>
      <c r="S82" s="1">
        <f t="shared" si="141"/>
        <v>711.75</v>
      </c>
      <c r="T82" s="1">
        <f t="shared" si="142"/>
        <v>628.67999999999995</v>
      </c>
      <c r="U82" s="1">
        <f t="shared" si="143"/>
        <v>60.45</v>
      </c>
      <c r="V82" s="1"/>
      <c r="W82" s="1">
        <f t="shared" si="144"/>
        <v>6488.2999999999993</v>
      </c>
      <c r="X82" s="1">
        <f t="shared" si="145"/>
        <v>996.44999999999993</v>
      </c>
      <c r="Y82" s="1">
        <f t="shared" si="146"/>
        <v>838.24</v>
      </c>
      <c r="Z82" s="1">
        <f t="shared" si="147"/>
        <v>84.63</v>
      </c>
      <c r="AA82" s="1"/>
      <c r="AB82" s="1"/>
      <c r="AC82" s="1"/>
      <c r="AD82" s="1"/>
    </row>
    <row r="83" spans="1:30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</sheetData>
  <mergeCells count="38">
    <mergeCell ref="AB11:AC11"/>
    <mergeCell ref="AB17:AC17"/>
    <mergeCell ref="AB23:AC23"/>
    <mergeCell ref="AB29:AC29"/>
    <mergeCell ref="AB35:AC35"/>
    <mergeCell ref="AB41:AC41"/>
    <mergeCell ref="B1:F1"/>
    <mergeCell ref="H1:L1"/>
    <mergeCell ref="A12:F12"/>
    <mergeCell ref="H12:K12"/>
    <mergeCell ref="M12:P12"/>
    <mergeCell ref="R12:U12"/>
    <mergeCell ref="W12:Z12"/>
    <mergeCell ref="A24:F24"/>
    <mergeCell ref="H24:K24"/>
    <mergeCell ref="M24:P24"/>
    <mergeCell ref="R24:U24"/>
    <mergeCell ref="W24:Z24"/>
    <mergeCell ref="A36:F36"/>
    <mergeCell ref="H36:K36"/>
    <mergeCell ref="W36:Z36"/>
    <mergeCell ref="M36:P36"/>
    <mergeCell ref="R36:U36"/>
    <mergeCell ref="A48:F48"/>
    <mergeCell ref="H48:K48"/>
    <mergeCell ref="M48:P48"/>
    <mergeCell ref="R48:U48"/>
    <mergeCell ref="W48:Z48"/>
    <mergeCell ref="M72:P72"/>
    <mergeCell ref="R72:U72"/>
    <mergeCell ref="A60:F60"/>
    <mergeCell ref="H60:K60"/>
    <mergeCell ref="M60:P60"/>
    <mergeCell ref="R60:U60"/>
    <mergeCell ref="W60:Z60"/>
    <mergeCell ref="A72:F72"/>
    <mergeCell ref="H72:K72"/>
    <mergeCell ref="W72:Z72"/>
  </mergeCells>
  <conditionalFormatting sqref="H11:Z11 H23:Z23 H35:Z35 H47:Z47 H59:Z59 H71:Z7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645B-CE7B-4B41-A587-12813CEE724A}">
  <dimension ref="A1:AR151"/>
  <sheetViews>
    <sheetView tabSelected="1" workbookViewId="0">
      <pane xSplit="1" topLeftCell="B1" activePane="topRight" state="frozen"/>
      <selection pane="topRight" activeCell="Q6" sqref="Q6"/>
    </sheetView>
  </sheetViews>
  <sheetFormatPr baseColWidth="10" defaultRowHeight="13" x14ac:dyDescent="0.15"/>
  <cols>
    <col min="1" max="1" width="18.33203125" customWidth="1"/>
    <col min="2" max="7" width="10.33203125" customWidth="1"/>
    <col min="8" max="8" width="15" customWidth="1"/>
    <col min="9" max="16" width="11.33203125" customWidth="1"/>
    <col min="17" max="17" width="13.33203125" customWidth="1"/>
    <col min="18" max="42" width="9.6640625" customWidth="1"/>
    <col min="43" max="44" width="10.33203125" customWidth="1"/>
  </cols>
  <sheetData>
    <row r="1" spans="1:44" ht="14" x14ac:dyDescent="0.15">
      <c r="A1" s="13"/>
      <c r="B1" s="16" t="s">
        <v>0</v>
      </c>
      <c r="C1" s="13"/>
      <c r="D1" s="13"/>
      <c r="E1" s="13"/>
      <c r="F1" s="13"/>
      <c r="G1" s="13"/>
      <c r="H1" s="16" t="s">
        <v>51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x14ac:dyDescent="0.15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x14ac:dyDescent="0.15">
      <c r="A3" s="13" t="s">
        <v>14</v>
      </c>
      <c r="B3" s="18">
        <f>'Pre-Season Load'!B3</f>
        <v>5626</v>
      </c>
      <c r="C3" s="18">
        <f>'Pre-Season Load'!C3</f>
        <v>391</v>
      </c>
      <c r="D3" s="18">
        <f>'Pre-Season Load'!D3</f>
        <v>100</v>
      </c>
      <c r="E3" s="18">
        <f>'Pre-Season Load'!E3</f>
        <v>31</v>
      </c>
      <c r="F3" s="20">
        <f>'Pre-Season Load'!F3</f>
        <v>85</v>
      </c>
      <c r="G3" s="17" t="s">
        <v>52</v>
      </c>
      <c r="H3" s="17" t="s">
        <v>53</v>
      </c>
      <c r="I3" s="17" t="s">
        <v>54</v>
      </c>
      <c r="J3" s="17" t="s">
        <v>55</v>
      </c>
      <c r="K3" s="17" t="s">
        <v>122</v>
      </c>
      <c r="L3" s="17" t="s">
        <v>56</v>
      </c>
      <c r="M3" s="17" t="s">
        <v>57</v>
      </c>
      <c r="N3" s="17" t="s">
        <v>58</v>
      </c>
      <c r="O3" s="17" t="s">
        <v>59</v>
      </c>
      <c r="P3" s="17" t="s">
        <v>60</v>
      </c>
      <c r="Q3" s="17" t="s">
        <v>123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44" x14ac:dyDescent="0.15">
      <c r="A4" s="13" t="s">
        <v>15</v>
      </c>
      <c r="B4" s="18">
        <f>'Pre-Season Load'!B4</f>
        <v>5487</v>
      </c>
      <c r="C4" s="18">
        <f>'Pre-Season Load'!C4</f>
        <v>364</v>
      </c>
      <c r="D4" s="18">
        <f>'Pre-Season Load'!D4</f>
        <v>140</v>
      </c>
      <c r="E4" s="18">
        <f>'Pre-Season Load'!E4</f>
        <v>30</v>
      </c>
      <c r="F4" s="20">
        <f>'Pre-Season Load'!F4</f>
        <v>81</v>
      </c>
      <c r="G4" s="15" t="s">
        <v>8</v>
      </c>
      <c r="H4" s="21" t="s">
        <v>61</v>
      </c>
      <c r="I4" s="38">
        <v>46291</v>
      </c>
      <c r="J4" s="21" t="s">
        <v>62</v>
      </c>
      <c r="K4" s="39">
        <v>1</v>
      </c>
      <c r="L4" s="14">
        <f>AVERAGE(B22:B30)</f>
        <v>16969.716666666667</v>
      </c>
      <c r="M4" s="14">
        <f>AVERAGE(C22:C30)</f>
        <v>2158.5722222222225</v>
      </c>
      <c r="N4" s="14">
        <f>AVERAGE(D22:D30)</f>
        <v>1291.6622222222225</v>
      </c>
      <c r="O4" s="14">
        <f>AVERAGE(E22:E30)</f>
        <v>227.57222222222222</v>
      </c>
      <c r="P4" s="19">
        <f>AR27</f>
        <v>300</v>
      </c>
      <c r="Q4" s="40">
        <f>L4/AVERAGE($B$3:$B$11)</f>
        <v>2.65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 spans="1:44" x14ac:dyDescent="0.15">
      <c r="A5" s="13" t="s">
        <v>18</v>
      </c>
      <c r="B5" s="18">
        <f>'Pre-Season Load'!B5</f>
        <v>6309</v>
      </c>
      <c r="C5" s="18">
        <f>'Pre-Season Load'!C5</f>
        <v>563</v>
      </c>
      <c r="D5" s="18">
        <f>'Pre-Season Load'!D5</f>
        <v>284</v>
      </c>
      <c r="E5" s="18">
        <f>'Pre-Season Load'!E5</f>
        <v>53</v>
      </c>
      <c r="F5" s="20">
        <f>'Pre-Season Load'!F5</f>
        <v>103</v>
      </c>
      <c r="G5" s="15" t="s">
        <v>9</v>
      </c>
      <c r="H5" s="21" t="s">
        <v>63</v>
      </c>
      <c r="I5" s="38">
        <v>46298</v>
      </c>
      <c r="J5" s="21" t="s">
        <v>62</v>
      </c>
      <c r="K5" s="39">
        <v>0.96</v>
      </c>
      <c r="L5" s="14">
        <f>AVERAGE(B34:B42)</f>
        <v>16547.074666666667</v>
      </c>
      <c r="M5" s="14">
        <f>AVERAGE(C34:C42)</f>
        <v>2104.8115555555555</v>
      </c>
      <c r="N5" s="14">
        <f>AVERAGE(D34:D42)</f>
        <v>1260.1779555555556</v>
      </c>
      <c r="O5" s="14">
        <f>AVERAGE(E34:E42)</f>
        <v>221.51377777777776</v>
      </c>
      <c r="P5" s="19">
        <f>AR39</f>
        <v>300</v>
      </c>
      <c r="Q5" s="40">
        <f>L5/AVERAGE($B$3:$B$11)</f>
        <v>2.5840000000000001</v>
      </c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spans="1:44" x14ac:dyDescent="0.15">
      <c r="A6" s="13" t="s">
        <v>20</v>
      </c>
      <c r="B6" s="18">
        <f>'Pre-Season Load'!B6</f>
        <v>6399</v>
      </c>
      <c r="C6" s="18">
        <f>'Pre-Season Load'!C6</f>
        <v>698</v>
      </c>
      <c r="D6" s="18">
        <f>'Pre-Season Load'!D6</f>
        <v>356</v>
      </c>
      <c r="E6" s="18">
        <f>'Pre-Season Load'!E6</f>
        <v>71</v>
      </c>
      <c r="F6" s="20">
        <f>'Pre-Season Load'!F6</f>
        <v>106</v>
      </c>
      <c r="G6" s="15" t="s">
        <v>10</v>
      </c>
      <c r="H6" s="21" t="s">
        <v>64</v>
      </c>
      <c r="I6" s="38">
        <v>46305</v>
      </c>
      <c r="J6" s="21" t="s">
        <v>65</v>
      </c>
      <c r="K6" s="39">
        <v>1</v>
      </c>
      <c r="L6" s="14">
        <f>AVERAGE(B46:B54)</f>
        <v>14728.433333333336</v>
      </c>
      <c r="M6" s="14">
        <f>AVERAGE(C46:C54)</f>
        <v>1873.4777777777776</v>
      </c>
      <c r="N6" s="14">
        <f>AVERAGE(D46:D54)</f>
        <v>1130.2044444444446</v>
      </c>
      <c r="O6" s="14">
        <f>AVERAGE(E46:E54)</f>
        <v>192.56111111111107</v>
      </c>
      <c r="P6" s="19">
        <f>AR51</f>
        <v>265</v>
      </c>
      <c r="Q6" s="40">
        <f>L6/AVERAGE($B$3:$B$11)</f>
        <v>2.3000000000000003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 x14ac:dyDescent="0.15">
      <c r="A7" s="13" t="s">
        <v>22</v>
      </c>
      <c r="B7" s="18">
        <f>'Pre-Season Load'!B7</f>
        <v>6484</v>
      </c>
      <c r="C7" s="18">
        <f>'Pre-Season Load'!C7</f>
        <v>1193</v>
      </c>
      <c r="D7" s="18">
        <f>'Pre-Season Load'!D7</f>
        <v>819</v>
      </c>
      <c r="E7" s="18">
        <f>'Pre-Season Load'!E7</f>
        <v>102</v>
      </c>
      <c r="F7" s="20">
        <f>'Pre-Season Load'!F7</f>
        <v>106</v>
      </c>
      <c r="G7" s="15" t="s">
        <v>11</v>
      </c>
      <c r="H7" s="21" t="s">
        <v>66</v>
      </c>
      <c r="I7" s="38">
        <v>46312</v>
      </c>
      <c r="J7" s="21" t="s">
        <v>67</v>
      </c>
      <c r="K7" s="39">
        <v>1</v>
      </c>
      <c r="L7" s="14">
        <f>AVERAGE(B58:B66)</f>
        <v>16969.716666666667</v>
      </c>
      <c r="M7" s="14">
        <f>AVERAGE(C58:C66)</f>
        <v>2158.5722222222225</v>
      </c>
      <c r="N7" s="14">
        <f>AVERAGE(D58:D66)</f>
        <v>1291.6622222222225</v>
      </c>
      <c r="O7" s="14">
        <f>AVERAGE(E58:E66)</f>
        <v>227.57222222222222</v>
      </c>
      <c r="P7" s="19">
        <f>AR63</f>
        <v>300</v>
      </c>
      <c r="Q7" s="40">
        <f>L7/AVERAGE($B$3:$B$11)</f>
        <v>2.65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 spans="1:44" x14ac:dyDescent="0.15">
      <c r="A8" s="13" t="s">
        <v>24</v>
      </c>
      <c r="B8" s="18">
        <f>'Pre-Season Load'!B8</f>
        <v>6056</v>
      </c>
      <c r="C8" s="18">
        <f>'Pre-Season Load'!C8</f>
        <v>661</v>
      </c>
      <c r="D8" s="18">
        <f>'Pre-Season Load'!D8</f>
        <v>269</v>
      </c>
      <c r="E8" s="18">
        <f>'Pre-Season Load'!E8</f>
        <v>87</v>
      </c>
      <c r="F8" s="20">
        <f>'Pre-Season Load'!F8</f>
        <v>95</v>
      </c>
      <c r="G8" s="15" t="s">
        <v>12</v>
      </c>
      <c r="H8" s="21" t="s">
        <v>68</v>
      </c>
      <c r="I8" s="38" t="s">
        <v>69</v>
      </c>
      <c r="J8" s="21" t="s">
        <v>128</v>
      </c>
      <c r="K8" s="39">
        <v>1</v>
      </c>
      <c r="L8" s="14">
        <f>AVERAGE(B70:B78)</f>
        <v>8452.84</v>
      </c>
      <c r="M8" s="14">
        <f>AVERAGE(C70:C78)</f>
        <v>1107.7955555555554</v>
      </c>
      <c r="N8" s="14">
        <f>AVERAGE(D70:D78)</f>
        <v>655.92222222222222</v>
      </c>
      <c r="O8" s="14">
        <f>AVERAGE(E70:E78)</f>
        <v>120.25555555555555</v>
      </c>
      <c r="P8" s="19">
        <f>AR75</f>
        <v>175</v>
      </c>
      <c r="Q8" s="40">
        <f>L8/AVERAGE($B$3:$B$11)</f>
        <v>1.32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</row>
    <row r="9" spans="1:44" x14ac:dyDescent="0.15">
      <c r="A9" s="13" t="s">
        <v>26</v>
      </c>
      <c r="B9" s="18">
        <f>'Pre-Season Load'!B9</f>
        <v>6757</v>
      </c>
      <c r="C9" s="18">
        <f>'Pre-Season Load'!C9</f>
        <v>1075</v>
      </c>
      <c r="D9" s="18">
        <f>'Pre-Season Load'!D9</f>
        <v>733</v>
      </c>
      <c r="E9" s="18">
        <f>'Pre-Season Load'!E9</f>
        <v>113</v>
      </c>
      <c r="F9" s="20">
        <f>'Pre-Season Load'!F9</f>
        <v>112</v>
      </c>
      <c r="G9" s="15" t="s">
        <v>13</v>
      </c>
      <c r="H9" s="21" t="s">
        <v>70</v>
      </c>
      <c r="I9" s="38">
        <v>46326</v>
      </c>
      <c r="J9" s="21" t="s">
        <v>62</v>
      </c>
      <c r="K9" s="39">
        <v>1</v>
      </c>
      <c r="L9" s="14">
        <f>AVERAGE(B82:B90)</f>
        <v>16969.716666666667</v>
      </c>
      <c r="M9" s="14">
        <f>AVERAGE(C82:C90)</f>
        <v>2158.5722222222225</v>
      </c>
      <c r="N9" s="14">
        <f>AVERAGE(D82:D90)</f>
        <v>1291.6622222222225</v>
      </c>
      <c r="O9" s="14">
        <f>AVERAGE(E82:E90)</f>
        <v>227.57222222222222</v>
      </c>
      <c r="P9" s="19">
        <f>AR87</f>
        <v>300</v>
      </c>
      <c r="Q9" s="40">
        <f>L9/AVERAGE($B$3:$B$11)</f>
        <v>2.65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</row>
    <row r="10" spans="1:44" x14ac:dyDescent="0.15">
      <c r="A10" s="13" t="s">
        <v>28</v>
      </c>
      <c r="B10" s="18">
        <f>'Pre-Season Load'!B10</f>
        <v>7385</v>
      </c>
      <c r="C10" s="18">
        <f>'Pre-Season Load'!C10</f>
        <v>1291</v>
      </c>
      <c r="D10" s="18">
        <f>'Pre-Season Load'!D10</f>
        <v>1034</v>
      </c>
      <c r="E10" s="18">
        <f>'Pre-Season Load'!E10</f>
        <v>105</v>
      </c>
      <c r="F10" s="20">
        <f>'Pre-Season Load'!F10</f>
        <v>130</v>
      </c>
      <c r="G10" s="15" t="s">
        <v>71</v>
      </c>
      <c r="H10" s="21" t="s">
        <v>72</v>
      </c>
      <c r="I10" s="38">
        <v>46333</v>
      </c>
      <c r="J10" s="21" t="s">
        <v>73</v>
      </c>
      <c r="K10" s="39">
        <v>0.93</v>
      </c>
      <c r="L10" s="14">
        <f>AVERAGE(B94:B102)</f>
        <v>16230.093166666667</v>
      </c>
      <c r="M10" s="14">
        <f>AVERAGE(C94:C102)</f>
        <v>2064.4910555555557</v>
      </c>
      <c r="N10" s="14">
        <f>AVERAGE(D94:D102)</f>
        <v>1236.5647555555558</v>
      </c>
      <c r="O10" s="14">
        <f>AVERAGE(E94:E102)</f>
        <v>216.96994444444442</v>
      </c>
      <c r="P10" s="19">
        <f>AR99</f>
        <v>300</v>
      </c>
      <c r="Q10" s="40">
        <f>L10/AVERAGE($B$3:$B$11)</f>
        <v>2.5345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</row>
    <row r="11" spans="1:44" x14ac:dyDescent="0.15">
      <c r="A11" s="13" t="s">
        <v>30</v>
      </c>
      <c r="B11" s="18">
        <f>'Pre-Season Load'!B11</f>
        <v>7130</v>
      </c>
      <c r="C11" s="18">
        <f>'Pre-Season Load'!C11</f>
        <v>1095</v>
      </c>
      <c r="D11" s="18">
        <f>'Pre-Season Load'!D11</f>
        <v>806</v>
      </c>
      <c r="E11" s="18">
        <f>'Pre-Season Load'!E11</f>
        <v>93</v>
      </c>
      <c r="F11" s="20">
        <f>'Pre-Season Load'!F11</f>
        <v>121</v>
      </c>
      <c r="G11" s="15" t="s">
        <v>74</v>
      </c>
      <c r="H11" s="21" t="s">
        <v>75</v>
      </c>
      <c r="I11" s="38">
        <v>46340</v>
      </c>
      <c r="J11" s="21" t="s">
        <v>65</v>
      </c>
      <c r="K11" s="39">
        <v>1</v>
      </c>
      <c r="L11" s="14">
        <f>AVERAGE(B106:B114)</f>
        <v>14728.433333333336</v>
      </c>
      <c r="M11" s="14">
        <f>AVERAGE(C106:C114)</f>
        <v>1873.4777777777776</v>
      </c>
      <c r="N11" s="14">
        <f>AVERAGE(D106:D114)</f>
        <v>1130.2044444444446</v>
      </c>
      <c r="O11" s="14">
        <f>AVERAGE(E106:E114)</f>
        <v>192.56111111111107</v>
      </c>
      <c r="P11" s="19">
        <f>AR111</f>
        <v>265</v>
      </c>
      <c r="Q11" s="40">
        <f>L11/AVERAGE($B$3:$B$11)</f>
        <v>2.3000000000000003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</row>
    <row r="12" spans="1:44" x14ac:dyDescent="0.15">
      <c r="A12" s="13"/>
      <c r="B12" s="13"/>
      <c r="C12" s="13"/>
      <c r="D12" s="13"/>
      <c r="E12" s="13"/>
      <c r="F12" s="13"/>
      <c r="G12" s="15" t="s">
        <v>76</v>
      </c>
      <c r="H12" s="21" t="s">
        <v>77</v>
      </c>
      <c r="I12" s="38">
        <v>46347</v>
      </c>
      <c r="J12" s="21" t="s">
        <v>67</v>
      </c>
      <c r="K12" s="39">
        <v>0.97</v>
      </c>
      <c r="L12" s="14">
        <f>AVERAGE(B118:B126)</f>
        <v>16652.735166666665</v>
      </c>
      <c r="M12" s="14">
        <f>AVERAGE(C118:C126)</f>
        <v>2118.2517222222223</v>
      </c>
      <c r="N12" s="14">
        <f>AVERAGE(D118:D126)</f>
        <v>1268.0490222222222</v>
      </c>
      <c r="O12" s="14">
        <f>AVERAGE(E118:E126)</f>
        <v>223.02838888888894</v>
      </c>
      <c r="P12" s="19">
        <f>AR123</f>
        <v>300</v>
      </c>
      <c r="Q12" s="40">
        <f>L12/AVERAGE($B$3:$B$11)</f>
        <v>2.6004999999999998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</row>
    <row r="13" spans="1:44" x14ac:dyDescent="0.15">
      <c r="A13" s="13"/>
      <c r="B13" s="13"/>
      <c r="C13" s="13"/>
      <c r="D13" s="13"/>
      <c r="E13" s="13"/>
      <c r="F13" s="13"/>
      <c r="G13" s="15" t="s">
        <v>78</v>
      </c>
      <c r="H13" s="21" t="s">
        <v>79</v>
      </c>
      <c r="I13" s="38" t="s">
        <v>137</v>
      </c>
      <c r="J13" s="21" t="s">
        <v>138</v>
      </c>
      <c r="K13" s="39">
        <v>1</v>
      </c>
      <c r="L13" s="14">
        <f>AVERAGE(B130:B138)</f>
        <v>8837.0600000000013</v>
      </c>
      <c r="M13" s="14">
        <f>AVERAGE(C130:C138)</f>
        <v>1172.96</v>
      </c>
      <c r="N13" s="14">
        <f>AVERAGE(D130:D138)</f>
        <v>691.24111111111119</v>
      </c>
      <c r="O13" s="14">
        <f>AVERAGE(E130:E138)</f>
        <v>129.38888888888889</v>
      </c>
      <c r="P13" s="19">
        <f>AR135</f>
        <v>185</v>
      </c>
      <c r="Q13" s="40">
        <f>L13/AVERAGE($B$3:$B$11)</f>
        <v>1.3800000000000001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spans="1:44" x14ac:dyDescent="0.15">
      <c r="A14" s="13"/>
      <c r="B14" s="13"/>
      <c r="C14" s="13"/>
      <c r="D14" s="13"/>
      <c r="E14" s="13"/>
      <c r="F14" s="13"/>
      <c r="G14" s="15" t="s">
        <v>80</v>
      </c>
      <c r="H14" s="21" t="s">
        <v>81</v>
      </c>
      <c r="I14" s="38">
        <v>46361</v>
      </c>
      <c r="J14" s="21" t="s">
        <v>65</v>
      </c>
      <c r="K14" s="39">
        <v>1</v>
      </c>
      <c r="L14" s="14">
        <f>AVERAGE(B142:B150)</f>
        <v>14728.433333333336</v>
      </c>
      <c r="M14" s="14">
        <f>AVERAGE(C142:C150)</f>
        <v>1873.4777777777776</v>
      </c>
      <c r="N14" s="14">
        <f>AVERAGE(D142:D150)</f>
        <v>1130.2044444444446</v>
      </c>
      <c r="O14" s="14">
        <f>AVERAGE(E142:E150)</f>
        <v>192.56111111111107</v>
      </c>
      <c r="P14" s="19">
        <f>AR147</f>
        <v>265</v>
      </c>
      <c r="Q14" s="40">
        <f>L14/AVERAGE($B$3:$B$11)</f>
        <v>2.3000000000000003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</row>
    <row r="15" spans="1:44" x14ac:dyDescent="0.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 spans="1:44" x14ac:dyDescent="0.15">
      <c r="A16" s="41" t="s">
        <v>124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 spans="1:44" x14ac:dyDescent="0.1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</row>
    <row r="18" spans="1:44" x14ac:dyDescent="0.1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 spans="1:44" x14ac:dyDescent="0.15">
      <c r="A19" s="13"/>
      <c r="B19" s="13"/>
      <c r="C19" s="13"/>
      <c r="D19" s="13"/>
      <c r="E19" s="13"/>
      <c r="F19" s="13"/>
      <c r="G19" s="13"/>
      <c r="H19" s="23">
        <v>0.22</v>
      </c>
      <c r="I19" s="23">
        <v>0.18</v>
      </c>
      <c r="J19" s="23">
        <v>0.15</v>
      </c>
      <c r="K19" s="23">
        <v>0.2</v>
      </c>
      <c r="L19" s="13"/>
      <c r="M19" s="25">
        <v>0.25</v>
      </c>
      <c r="N19" s="25">
        <v>0.28000000000000003</v>
      </c>
      <c r="O19" s="25">
        <v>0.35</v>
      </c>
      <c r="P19" s="25">
        <v>0.4</v>
      </c>
      <c r="Q19" s="13"/>
      <c r="R19" s="27">
        <v>0.42</v>
      </c>
      <c r="S19" s="27">
        <v>0.45</v>
      </c>
      <c r="T19" s="27">
        <v>0.38</v>
      </c>
      <c r="U19" s="27">
        <v>0.5</v>
      </c>
      <c r="V19" s="13"/>
      <c r="W19" s="25">
        <v>0.2</v>
      </c>
      <c r="X19" s="25">
        <v>0.22</v>
      </c>
      <c r="Y19" s="25">
        <v>0.28000000000000003</v>
      </c>
      <c r="Z19" s="25">
        <v>0.32</v>
      </c>
      <c r="AA19" s="13"/>
      <c r="AB19" s="27">
        <v>0.38</v>
      </c>
      <c r="AC19" s="27">
        <v>0.4</v>
      </c>
      <c r="AD19" s="27">
        <v>0.32</v>
      </c>
      <c r="AE19" s="27">
        <v>0.45</v>
      </c>
      <c r="AF19" s="13"/>
      <c r="AG19" s="29">
        <v>0.18</v>
      </c>
      <c r="AH19" s="29">
        <v>0.12</v>
      </c>
      <c r="AI19" s="29">
        <v>0.08</v>
      </c>
      <c r="AJ19" s="29">
        <v>0.12</v>
      </c>
      <c r="AK19" s="13"/>
      <c r="AL19" s="31">
        <v>1</v>
      </c>
      <c r="AM19" s="31">
        <v>1</v>
      </c>
      <c r="AN19" s="31">
        <v>1</v>
      </c>
      <c r="AO19" s="31">
        <v>1</v>
      </c>
      <c r="AP19" s="13"/>
      <c r="AQ19" s="33" t="s">
        <v>90</v>
      </c>
      <c r="AR19" s="33"/>
    </row>
    <row r="20" spans="1:44" ht="14" x14ac:dyDescent="0.15">
      <c r="A20" s="22" t="s">
        <v>89</v>
      </c>
      <c r="B20" s="22"/>
      <c r="C20" s="22"/>
      <c r="D20" s="22"/>
      <c r="E20" s="22"/>
      <c r="F20" s="22"/>
      <c r="G20" s="13"/>
      <c r="H20" s="24" t="s">
        <v>82</v>
      </c>
      <c r="I20" s="24"/>
      <c r="J20" s="24"/>
      <c r="K20" s="24"/>
      <c r="L20" s="13"/>
      <c r="M20" s="26" t="s">
        <v>83</v>
      </c>
      <c r="N20" s="26"/>
      <c r="O20" s="26"/>
      <c r="P20" s="26"/>
      <c r="Q20" s="13"/>
      <c r="R20" s="28" t="s">
        <v>84</v>
      </c>
      <c r="S20" s="28"/>
      <c r="T20" s="28"/>
      <c r="U20" s="28"/>
      <c r="V20" s="13"/>
      <c r="W20" s="26" t="s">
        <v>85</v>
      </c>
      <c r="X20" s="26"/>
      <c r="Y20" s="26"/>
      <c r="Z20" s="26"/>
      <c r="AA20" s="13"/>
      <c r="AB20" s="28" t="s">
        <v>86</v>
      </c>
      <c r="AC20" s="28"/>
      <c r="AD20" s="28"/>
      <c r="AE20" s="28"/>
      <c r="AF20" s="13"/>
      <c r="AG20" s="30" t="s">
        <v>87</v>
      </c>
      <c r="AH20" s="30"/>
      <c r="AI20" s="30"/>
      <c r="AJ20" s="30"/>
      <c r="AK20" s="13"/>
      <c r="AL20" s="32" t="s">
        <v>88</v>
      </c>
      <c r="AM20" s="32"/>
      <c r="AN20" s="32"/>
      <c r="AO20" s="32"/>
      <c r="AP20" s="13"/>
      <c r="AQ20" s="13" t="s">
        <v>36</v>
      </c>
      <c r="AR20" s="34">
        <v>30</v>
      </c>
    </row>
    <row r="21" spans="1:44" x14ac:dyDescent="0.15">
      <c r="A21" s="17" t="s">
        <v>2</v>
      </c>
      <c r="B21" s="17" t="s">
        <v>3</v>
      </c>
      <c r="C21" s="17" t="s">
        <v>4</v>
      </c>
      <c r="D21" s="17" t="s">
        <v>5</v>
      </c>
      <c r="E21" s="17" t="s">
        <v>6</v>
      </c>
      <c r="F21" s="17" t="s">
        <v>7</v>
      </c>
      <c r="G21" s="13"/>
      <c r="H21" s="17" t="s">
        <v>3</v>
      </c>
      <c r="I21" s="17" t="s">
        <v>4</v>
      </c>
      <c r="J21" s="17" t="s">
        <v>5</v>
      </c>
      <c r="K21" s="17" t="s">
        <v>6</v>
      </c>
      <c r="L21" s="13"/>
      <c r="M21" s="17" t="s">
        <v>3</v>
      </c>
      <c r="N21" s="17" t="s">
        <v>4</v>
      </c>
      <c r="O21" s="17" t="s">
        <v>5</v>
      </c>
      <c r="P21" s="17" t="s">
        <v>6</v>
      </c>
      <c r="Q21" s="13"/>
      <c r="R21" s="17" t="s">
        <v>3</v>
      </c>
      <c r="S21" s="17" t="s">
        <v>4</v>
      </c>
      <c r="T21" s="17" t="s">
        <v>5</v>
      </c>
      <c r="U21" s="17" t="s">
        <v>6</v>
      </c>
      <c r="V21" s="13"/>
      <c r="W21" s="17" t="s">
        <v>3</v>
      </c>
      <c r="X21" s="17" t="s">
        <v>4</v>
      </c>
      <c r="Y21" s="17" t="s">
        <v>5</v>
      </c>
      <c r="Z21" s="17" t="s">
        <v>6</v>
      </c>
      <c r="AA21" s="13"/>
      <c r="AB21" s="17" t="s">
        <v>3</v>
      </c>
      <c r="AC21" s="17" t="s">
        <v>4</v>
      </c>
      <c r="AD21" s="17" t="s">
        <v>5</v>
      </c>
      <c r="AE21" s="17" t="s">
        <v>6</v>
      </c>
      <c r="AF21" s="13"/>
      <c r="AG21" s="17" t="s">
        <v>3</v>
      </c>
      <c r="AH21" s="17" t="s">
        <v>4</v>
      </c>
      <c r="AI21" s="17" t="s">
        <v>5</v>
      </c>
      <c r="AJ21" s="17" t="s">
        <v>6</v>
      </c>
      <c r="AK21" s="13"/>
      <c r="AL21" s="17" t="s">
        <v>3</v>
      </c>
      <c r="AM21" s="17" t="s">
        <v>4</v>
      </c>
      <c r="AN21" s="17" t="s">
        <v>5</v>
      </c>
      <c r="AO21" s="17" t="s">
        <v>6</v>
      </c>
      <c r="AP21" s="13"/>
      <c r="AQ21" s="13" t="s">
        <v>91</v>
      </c>
      <c r="AR21" s="34">
        <v>30</v>
      </c>
    </row>
    <row r="22" spans="1:44" x14ac:dyDescent="0.15">
      <c r="A22" s="13" t="s">
        <v>14</v>
      </c>
      <c r="B22" s="14">
        <f>H22+M22+R22+W22+AB22+AG22+AL22</f>
        <v>14908.900000000001</v>
      </c>
      <c r="C22" s="14">
        <f>I22+N22+S22+X22+AC22+AH22+AM22</f>
        <v>1036.1500000000001</v>
      </c>
      <c r="D22" s="14">
        <f>J22+O22+T22+Y22+AD22+AI22+AN22</f>
        <v>256</v>
      </c>
      <c r="E22" s="14">
        <f>K22+P22+U22+Z22+AE22+AJ22+AO22</f>
        <v>92.69</v>
      </c>
      <c r="F22" s="19">
        <f>F3</f>
        <v>85</v>
      </c>
      <c r="G22" s="13"/>
      <c r="H22" s="14">
        <f>B3*H$19*$K$4</f>
        <v>1237.72</v>
      </c>
      <c r="I22" s="14">
        <f>C3*I$19*$K$4</f>
        <v>70.38</v>
      </c>
      <c r="J22" s="14">
        <f>D3*J$19*$K$4</f>
        <v>15</v>
      </c>
      <c r="K22" s="14">
        <f>E3*K$19*$K$4</f>
        <v>6.2</v>
      </c>
      <c r="L22" s="13"/>
      <c r="M22" s="14">
        <f>B3*M$19*$K$4</f>
        <v>1406.5</v>
      </c>
      <c r="N22" s="14">
        <f>C3*N$19*$K$4</f>
        <v>109.48</v>
      </c>
      <c r="O22" s="14">
        <f>D3*O$19*$K$4</f>
        <v>35</v>
      </c>
      <c r="P22" s="14">
        <f>E3*P$19*$K$4</f>
        <v>12.4</v>
      </c>
      <c r="Q22" s="13"/>
      <c r="R22" s="14">
        <f>B3*R$19*$K$4</f>
        <v>2362.92</v>
      </c>
      <c r="S22" s="14">
        <f>C3*S$19*$K$4</f>
        <v>175.95000000000002</v>
      </c>
      <c r="T22" s="14">
        <f>D3*T$19*$K$4</f>
        <v>38</v>
      </c>
      <c r="U22" s="14">
        <f>E3*U$19*$K$4</f>
        <v>15.5</v>
      </c>
      <c r="V22" s="13"/>
      <c r="W22" s="14">
        <f>B3*W$19*$K$4</f>
        <v>1125.2</v>
      </c>
      <c r="X22" s="14">
        <f>C3*X$19*$K$4</f>
        <v>86.02</v>
      </c>
      <c r="Y22" s="14">
        <f>D3*Y$19*$K$4</f>
        <v>28.000000000000004</v>
      </c>
      <c r="Z22" s="14">
        <f>E3*Z$19*$K$4</f>
        <v>9.92</v>
      </c>
      <c r="AA22" s="13"/>
      <c r="AB22" s="14">
        <f>B3*AB$19*$K$4</f>
        <v>2137.88</v>
      </c>
      <c r="AC22" s="14">
        <f>C3*AC$19*$K$4</f>
        <v>156.4</v>
      </c>
      <c r="AD22" s="14">
        <f>D3*AD$19*$K$4</f>
        <v>32</v>
      </c>
      <c r="AE22" s="14">
        <f>E3*AE$19*$K$4</f>
        <v>13.950000000000001</v>
      </c>
      <c r="AF22" s="13"/>
      <c r="AG22" s="14">
        <f>B3*AG$19*$K$4</f>
        <v>1012.68</v>
      </c>
      <c r="AH22" s="14">
        <f>C3*AH$19*$K$4</f>
        <v>46.92</v>
      </c>
      <c r="AI22" s="14">
        <f>D3*AI$19*$K$4</f>
        <v>8</v>
      </c>
      <c r="AJ22" s="14">
        <f>E3*AJ$19*$K$4</f>
        <v>3.7199999999999998</v>
      </c>
      <c r="AK22" s="13"/>
      <c r="AL22" s="14">
        <f>B3*AL$19</f>
        <v>5626</v>
      </c>
      <c r="AM22" s="14">
        <f>C3*AM$19</f>
        <v>391</v>
      </c>
      <c r="AN22" s="14">
        <f>D3*AN$19</f>
        <v>100</v>
      </c>
      <c r="AO22" s="14">
        <f>E3*AO$19</f>
        <v>31</v>
      </c>
      <c r="AP22" s="13"/>
      <c r="AQ22" s="13" t="s">
        <v>92</v>
      </c>
      <c r="AR22" s="34">
        <v>60</v>
      </c>
    </row>
    <row r="23" spans="1:44" x14ac:dyDescent="0.15">
      <c r="A23" s="13" t="s">
        <v>15</v>
      </c>
      <c r="B23" s="14">
        <f>H23+M23+R23+W23+AB23+AG23+AL23</f>
        <v>14540.55</v>
      </c>
      <c r="C23" s="14">
        <f>I23+N23+S23+X23+AC23+AH23+AM23</f>
        <v>964.59999999999991</v>
      </c>
      <c r="D23" s="14">
        <f>J23+O23+T23+Y23+AD23+AI23+AN23</f>
        <v>358.4</v>
      </c>
      <c r="E23" s="14">
        <f>K23+P23+U23+Z23+AE23+AJ23+AO23</f>
        <v>89.7</v>
      </c>
      <c r="F23" s="19">
        <f>F4</f>
        <v>81</v>
      </c>
      <c r="G23" s="13"/>
      <c r="H23" s="14">
        <f>B4*H$19*$K$4</f>
        <v>1207.1400000000001</v>
      </c>
      <c r="I23" s="14">
        <f>C4*I$19*$K$4</f>
        <v>65.52</v>
      </c>
      <c r="J23" s="14">
        <f>D4*J$19*$K$4</f>
        <v>21</v>
      </c>
      <c r="K23" s="14">
        <f>E4*K$19*$K$4</f>
        <v>6</v>
      </c>
      <c r="L23" s="13"/>
      <c r="M23" s="14">
        <f>B4*M$19*$K$4</f>
        <v>1371.75</v>
      </c>
      <c r="N23" s="14">
        <f>C4*N$19*$K$4</f>
        <v>101.92000000000002</v>
      </c>
      <c r="O23" s="14">
        <f>D4*O$19*$K$4</f>
        <v>49</v>
      </c>
      <c r="P23" s="14">
        <f>E4*P$19*$K$4</f>
        <v>12</v>
      </c>
      <c r="Q23" s="13"/>
      <c r="R23" s="14">
        <f>B4*R$19*$K$4</f>
        <v>2304.54</v>
      </c>
      <c r="S23" s="14">
        <f>C4*S$19*$K$4</f>
        <v>163.80000000000001</v>
      </c>
      <c r="T23" s="14">
        <f>D4*T$19*$K$4</f>
        <v>53.2</v>
      </c>
      <c r="U23" s="14">
        <f>E4*U$19*$K$4</f>
        <v>15</v>
      </c>
      <c r="V23" s="13"/>
      <c r="W23" s="14">
        <f>B4*W$19*$K$4</f>
        <v>1097.4000000000001</v>
      </c>
      <c r="X23" s="14">
        <f>C4*X$19*$K$4</f>
        <v>80.08</v>
      </c>
      <c r="Y23" s="14">
        <f>D4*Y$19*$K$4</f>
        <v>39.200000000000003</v>
      </c>
      <c r="Z23" s="14">
        <f>E4*Z$19*$K$4</f>
        <v>9.6</v>
      </c>
      <c r="AA23" s="13"/>
      <c r="AB23" s="14">
        <f>B4*AB$19*$K$4</f>
        <v>2085.06</v>
      </c>
      <c r="AC23" s="14">
        <f>C4*AC$19*$K$4</f>
        <v>145.6</v>
      </c>
      <c r="AD23" s="14">
        <f>D4*AD$19*$K$4</f>
        <v>44.800000000000004</v>
      </c>
      <c r="AE23" s="14">
        <f>E4*AE$19*$K$4</f>
        <v>13.5</v>
      </c>
      <c r="AF23" s="13"/>
      <c r="AG23" s="14">
        <f>B4*AG$19*$K$4</f>
        <v>987.66</v>
      </c>
      <c r="AH23" s="14">
        <f>C4*AH$19*$K$4</f>
        <v>43.68</v>
      </c>
      <c r="AI23" s="14">
        <f>D4*AI$19*$K$4</f>
        <v>11.200000000000001</v>
      </c>
      <c r="AJ23" s="14">
        <f>E4*AJ$19*$K$4</f>
        <v>3.5999999999999996</v>
      </c>
      <c r="AK23" s="13"/>
      <c r="AL23" s="14">
        <f>B4*AL$19</f>
        <v>5487</v>
      </c>
      <c r="AM23" s="14">
        <f>C4*AM$19</f>
        <v>364</v>
      </c>
      <c r="AN23" s="14">
        <f>D4*AN$19</f>
        <v>140</v>
      </c>
      <c r="AO23" s="14">
        <f>E4*AO$19</f>
        <v>30</v>
      </c>
      <c r="AP23" s="13"/>
      <c r="AQ23" s="13" t="s">
        <v>93</v>
      </c>
      <c r="AR23" s="34">
        <v>25</v>
      </c>
    </row>
    <row r="24" spans="1:44" x14ac:dyDescent="0.15">
      <c r="A24" s="13" t="s">
        <v>18</v>
      </c>
      <c r="B24" s="14">
        <f>H24+M24+R24+W24+AB24+AG24+AL24</f>
        <v>16718.849999999999</v>
      </c>
      <c r="C24" s="14">
        <f>I24+N24+S24+X24+AC24+AH24+AM24</f>
        <v>1491.95</v>
      </c>
      <c r="D24" s="14">
        <f>J24+O24+T24+Y24+AD24+AI24+AN24</f>
        <v>727.04000000000008</v>
      </c>
      <c r="E24" s="14">
        <f>K24+P24+U24+Z24+AE24+AJ24+AO24</f>
        <v>158.47000000000003</v>
      </c>
      <c r="F24" s="19">
        <f>F5</f>
        <v>103</v>
      </c>
      <c r="G24" s="13"/>
      <c r="H24" s="14">
        <f>B5*H$19*$K$4</f>
        <v>1387.98</v>
      </c>
      <c r="I24" s="14">
        <f>C5*I$19*$K$4</f>
        <v>101.33999999999999</v>
      </c>
      <c r="J24" s="14">
        <f>D5*J$19*$K$4</f>
        <v>42.6</v>
      </c>
      <c r="K24" s="14">
        <f>E5*K$19*$K$4</f>
        <v>10.600000000000001</v>
      </c>
      <c r="L24" s="13"/>
      <c r="M24" s="14">
        <f>B5*M$19*$K$4</f>
        <v>1577.25</v>
      </c>
      <c r="N24" s="14">
        <f>C5*N$19*$K$4</f>
        <v>157.64000000000001</v>
      </c>
      <c r="O24" s="14">
        <f>D5*O$19*$K$4</f>
        <v>99.399999999999991</v>
      </c>
      <c r="P24" s="14">
        <f>E5*P$19*$K$4</f>
        <v>21.200000000000003</v>
      </c>
      <c r="Q24" s="13"/>
      <c r="R24" s="14">
        <f>B5*R$19*$K$4</f>
        <v>2649.7799999999997</v>
      </c>
      <c r="S24" s="14">
        <f>C5*S$19*$K$4</f>
        <v>253.35</v>
      </c>
      <c r="T24" s="14">
        <f>D5*T$19*$K$4</f>
        <v>107.92</v>
      </c>
      <c r="U24" s="14">
        <f>E5*U$19*$K$4</f>
        <v>26.5</v>
      </c>
      <c r="V24" s="13"/>
      <c r="W24" s="14">
        <f>B5*W$19*$K$4</f>
        <v>1261.8000000000002</v>
      </c>
      <c r="X24" s="14">
        <f>C5*X$19*$K$4</f>
        <v>123.86</v>
      </c>
      <c r="Y24" s="14">
        <f>D5*Y$19*$K$4</f>
        <v>79.52000000000001</v>
      </c>
      <c r="Z24" s="14">
        <f>E5*Z$19*$K$4</f>
        <v>16.96</v>
      </c>
      <c r="AA24" s="13"/>
      <c r="AB24" s="14">
        <f>B5*AB$19*$K$4</f>
        <v>2397.42</v>
      </c>
      <c r="AC24" s="14">
        <f>C5*AC$19*$K$4</f>
        <v>225.20000000000002</v>
      </c>
      <c r="AD24" s="14">
        <f>D5*AD$19*$K$4</f>
        <v>90.88</v>
      </c>
      <c r="AE24" s="14">
        <f>E5*AE$19*$K$4</f>
        <v>23.85</v>
      </c>
      <c r="AF24" s="13"/>
      <c r="AG24" s="14">
        <f>B5*AG$19*$K$4</f>
        <v>1135.6199999999999</v>
      </c>
      <c r="AH24" s="14">
        <f>C5*AH$19*$K$4</f>
        <v>67.56</v>
      </c>
      <c r="AI24" s="14">
        <f>D5*AI$19*$K$4</f>
        <v>22.72</v>
      </c>
      <c r="AJ24" s="14">
        <f>E5*AJ$19*$K$4</f>
        <v>6.3599999999999994</v>
      </c>
      <c r="AK24" s="13"/>
      <c r="AL24" s="14">
        <f>B5*AL$19</f>
        <v>6309</v>
      </c>
      <c r="AM24" s="14">
        <f>C5*AM$19</f>
        <v>563</v>
      </c>
      <c r="AN24" s="14">
        <f>D5*AN$19</f>
        <v>284</v>
      </c>
      <c r="AO24" s="14">
        <f>E5*AO$19</f>
        <v>53</v>
      </c>
      <c r="AP24" s="13"/>
      <c r="AQ24" s="13" t="s">
        <v>94</v>
      </c>
      <c r="AR24" s="34">
        <v>55</v>
      </c>
    </row>
    <row r="25" spans="1:44" x14ac:dyDescent="0.15">
      <c r="A25" s="13" t="s">
        <v>20</v>
      </c>
      <c r="B25" s="14">
        <f>H25+M25+R25+W25+AB25+AG25+AL25</f>
        <v>16957.349999999999</v>
      </c>
      <c r="C25" s="14">
        <f>I25+N25+S25+X25+AC25+AH25+AM25</f>
        <v>1849.7</v>
      </c>
      <c r="D25" s="14">
        <f>J25+O25+T25+Y25+AD25+AI25+AN25</f>
        <v>911.36</v>
      </c>
      <c r="E25" s="14">
        <f>K25+P25+U25+Z25+AE25+AJ25+AO25</f>
        <v>212.29</v>
      </c>
      <c r="F25" s="19">
        <f>F6</f>
        <v>106</v>
      </c>
      <c r="G25" s="13"/>
      <c r="H25" s="14">
        <f>B6*H$19*$K$4</f>
        <v>1407.78</v>
      </c>
      <c r="I25" s="14">
        <f>C6*I$19*$K$4</f>
        <v>125.64</v>
      </c>
      <c r="J25" s="14">
        <f>D6*J$19*$K$4</f>
        <v>53.4</v>
      </c>
      <c r="K25" s="14">
        <f>E6*K$19*$K$4</f>
        <v>14.200000000000001</v>
      </c>
      <c r="L25" s="13"/>
      <c r="M25" s="14">
        <f>B6*M$19*$K$4</f>
        <v>1599.75</v>
      </c>
      <c r="N25" s="14">
        <f>C6*N$19*$K$4</f>
        <v>195.44000000000003</v>
      </c>
      <c r="O25" s="14">
        <f>D6*O$19*$K$4</f>
        <v>124.6</v>
      </c>
      <c r="P25" s="14">
        <f>E6*P$19*$K$4</f>
        <v>28.400000000000002</v>
      </c>
      <c r="Q25" s="13"/>
      <c r="R25" s="14">
        <f>B6*R$19*$K$4</f>
        <v>2687.58</v>
      </c>
      <c r="S25" s="14">
        <f>C6*S$19*$K$4</f>
        <v>314.10000000000002</v>
      </c>
      <c r="T25" s="14">
        <f>D6*T$19*$K$4</f>
        <v>135.28</v>
      </c>
      <c r="U25" s="14">
        <f>E6*U$19*$K$4</f>
        <v>35.5</v>
      </c>
      <c r="V25" s="13"/>
      <c r="W25" s="14">
        <f>B6*W$19*$K$4</f>
        <v>1279.8000000000002</v>
      </c>
      <c r="X25" s="14">
        <f>C6*X$19*$K$4</f>
        <v>153.56</v>
      </c>
      <c r="Y25" s="14">
        <f>D6*Y$19*$K$4</f>
        <v>99.68</v>
      </c>
      <c r="Z25" s="14">
        <f>E6*Z$19*$K$4</f>
        <v>22.72</v>
      </c>
      <c r="AA25" s="13"/>
      <c r="AB25" s="14">
        <f>B6*AB$19*$K$4</f>
        <v>2431.62</v>
      </c>
      <c r="AC25" s="14">
        <f>C6*AC$19*$K$4</f>
        <v>279.2</v>
      </c>
      <c r="AD25" s="14">
        <f>D6*AD$19*$K$4</f>
        <v>113.92</v>
      </c>
      <c r="AE25" s="14">
        <f>E6*AE$19*$K$4</f>
        <v>31.95</v>
      </c>
      <c r="AF25" s="13"/>
      <c r="AG25" s="14">
        <f>B6*AG$19*$K$4</f>
        <v>1151.82</v>
      </c>
      <c r="AH25" s="14">
        <f>C6*AH$19*$K$4</f>
        <v>83.759999999999991</v>
      </c>
      <c r="AI25" s="14">
        <f>D6*AI$19*$K$4</f>
        <v>28.48</v>
      </c>
      <c r="AJ25" s="14">
        <f>E6*AJ$19*$K$4</f>
        <v>8.52</v>
      </c>
      <c r="AK25" s="13"/>
      <c r="AL25" s="14">
        <f>B6*AL$19</f>
        <v>6399</v>
      </c>
      <c r="AM25" s="14">
        <f>C6*AM$19</f>
        <v>698</v>
      </c>
      <c r="AN25" s="14">
        <f>D6*AN$19</f>
        <v>356</v>
      </c>
      <c r="AO25" s="14">
        <f>E6*AO$19</f>
        <v>71</v>
      </c>
      <c r="AP25" s="13"/>
      <c r="AQ25" s="13" t="s">
        <v>39</v>
      </c>
      <c r="AR25" s="34">
        <v>20</v>
      </c>
    </row>
    <row r="26" spans="1:44" x14ac:dyDescent="0.15">
      <c r="A26" s="13" t="s">
        <v>22</v>
      </c>
      <c r="B26" s="14">
        <f>H26+M26+R26+W26+AB26+AG26+AL26</f>
        <v>17182.599999999999</v>
      </c>
      <c r="C26" s="14">
        <f>I26+N26+S26+X26+AC26+AH26+AM26</f>
        <v>3161.4500000000003</v>
      </c>
      <c r="D26" s="14">
        <f>J26+O26+T26+Y26+AD26+AI26+AN26</f>
        <v>2096.6400000000003</v>
      </c>
      <c r="E26" s="14">
        <f>K26+P26+U26+Z26+AE26+AJ26+AO26</f>
        <v>304.98</v>
      </c>
      <c r="F26" s="19">
        <f>F7</f>
        <v>106</v>
      </c>
      <c r="G26" s="13"/>
      <c r="H26" s="14">
        <f>B7*H$19*$K$4</f>
        <v>1426.48</v>
      </c>
      <c r="I26" s="14">
        <f>C7*I$19*$K$4</f>
        <v>214.73999999999998</v>
      </c>
      <c r="J26" s="14">
        <f>D7*J$19*$K$4</f>
        <v>122.85</v>
      </c>
      <c r="K26" s="14">
        <f>E7*K$19*$K$4</f>
        <v>20.400000000000002</v>
      </c>
      <c r="L26" s="13"/>
      <c r="M26" s="14">
        <f>B7*M$19*$K$4</f>
        <v>1621</v>
      </c>
      <c r="N26" s="14">
        <f>C7*N$19*$K$4</f>
        <v>334.04</v>
      </c>
      <c r="O26" s="14">
        <f>D7*O$19*$K$4</f>
        <v>286.64999999999998</v>
      </c>
      <c r="P26" s="14">
        <f>E7*P$19*$K$4</f>
        <v>40.800000000000004</v>
      </c>
      <c r="Q26" s="13"/>
      <c r="R26" s="14">
        <f>B7*R$19*$K$4</f>
        <v>2723.2799999999997</v>
      </c>
      <c r="S26" s="14">
        <f>C7*S$19*$K$4</f>
        <v>536.85</v>
      </c>
      <c r="T26" s="14">
        <f>D7*T$19*$K$4</f>
        <v>311.22000000000003</v>
      </c>
      <c r="U26" s="14">
        <f>E7*U$19*$K$4</f>
        <v>51</v>
      </c>
      <c r="V26" s="13"/>
      <c r="W26" s="14">
        <f>B7*W$19*$K$4</f>
        <v>1296.8000000000002</v>
      </c>
      <c r="X26" s="14">
        <f>C7*X$19*$K$4</f>
        <v>262.45999999999998</v>
      </c>
      <c r="Y26" s="14">
        <f>D7*Y$19*$K$4</f>
        <v>229.32000000000002</v>
      </c>
      <c r="Z26" s="14">
        <f>E7*Z$19*$K$4</f>
        <v>32.64</v>
      </c>
      <c r="AA26" s="13"/>
      <c r="AB26" s="14">
        <f>B7*AB$19*$K$4</f>
        <v>2463.92</v>
      </c>
      <c r="AC26" s="14">
        <f>C7*AC$19*$K$4</f>
        <v>477.20000000000005</v>
      </c>
      <c r="AD26" s="14">
        <f>D7*AD$19*$K$4</f>
        <v>262.08</v>
      </c>
      <c r="AE26" s="14">
        <f>E7*AE$19*$K$4</f>
        <v>45.9</v>
      </c>
      <c r="AF26" s="13"/>
      <c r="AG26" s="14">
        <f>B7*AG$19*$K$4</f>
        <v>1167.1199999999999</v>
      </c>
      <c r="AH26" s="14">
        <f>C7*AH$19*$K$4</f>
        <v>143.16</v>
      </c>
      <c r="AI26" s="14">
        <f>D7*AI$19*$K$4</f>
        <v>65.52</v>
      </c>
      <c r="AJ26" s="14">
        <f>E7*AJ$19*$K$4</f>
        <v>12.24</v>
      </c>
      <c r="AK26" s="13"/>
      <c r="AL26" s="14">
        <f>B7*AL$19</f>
        <v>6484</v>
      </c>
      <c r="AM26" s="14">
        <f>C7*AM$19</f>
        <v>1193</v>
      </c>
      <c r="AN26" s="14">
        <f>D7*AN$19</f>
        <v>819</v>
      </c>
      <c r="AO26" s="14">
        <f>E7*AO$19</f>
        <v>102</v>
      </c>
      <c r="AP26" s="13"/>
      <c r="AQ26" s="13" t="s">
        <v>45</v>
      </c>
      <c r="AR26" s="34">
        <v>80</v>
      </c>
    </row>
    <row r="27" spans="1:44" x14ac:dyDescent="0.15">
      <c r="A27" s="13" t="s">
        <v>24</v>
      </c>
      <c r="B27" s="14">
        <f>H27+M27+R27+W27+AB27+AG27+AL27</f>
        <v>16048.4</v>
      </c>
      <c r="C27" s="14">
        <f>I27+N27+S27+X27+AC27+AH27+AM27</f>
        <v>1751.6499999999999</v>
      </c>
      <c r="D27" s="14">
        <f>J27+O27+T27+Y27+AD27+AI27+AN27</f>
        <v>688.64</v>
      </c>
      <c r="E27" s="14">
        <f>K27+P27+U27+Z27+AE27+AJ27+AO27</f>
        <v>260.13</v>
      </c>
      <c r="F27" s="19">
        <f>F8</f>
        <v>95</v>
      </c>
      <c r="G27" s="13"/>
      <c r="H27" s="14">
        <f>B8*H$19*$K$4</f>
        <v>1332.32</v>
      </c>
      <c r="I27" s="14">
        <f>C8*I$19*$K$4</f>
        <v>118.97999999999999</v>
      </c>
      <c r="J27" s="14">
        <f>D8*J$19*$K$4</f>
        <v>40.35</v>
      </c>
      <c r="K27" s="14">
        <f>E8*K$19*$K$4</f>
        <v>17.400000000000002</v>
      </c>
      <c r="L27" s="13"/>
      <c r="M27" s="14">
        <f>B8*M$19*$K$4</f>
        <v>1514</v>
      </c>
      <c r="N27" s="14">
        <f>C8*N$19*$K$4</f>
        <v>185.08</v>
      </c>
      <c r="O27" s="14">
        <f>D8*O$19*$K$4</f>
        <v>94.149999999999991</v>
      </c>
      <c r="P27" s="14">
        <f>E8*P$19*$K$4</f>
        <v>34.800000000000004</v>
      </c>
      <c r="Q27" s="13"/>
      <c r="R27" s="14">
        <f>B8*R$19*$K$4</f>
        <v>2543.52</v>
      </c>
      <c r="S27" s="14">
        <f>C8*S$19*$K$4</f>
        <v>297.45</v>
      </c>
      <c r="T27" s="14">
        <f>D8*T$19*$K$4</f>
        <v>102.22</v>
      </c>
      <c r="U27" s="14">
        <f>E8*U$19*$K$4</f>
        <v>43.5</v>
      </c>
      <c r="V27" s="13"/>
      <c r="W27" s="14">
        <f>B8*W$19*$K$4</f>
        <v>1211.2</v>
      </c>
      <c r="X27" s="14">
        <f>C8*X$19*$K$4</f>
        <v>145.41999999999999</v>
      </c>
      <c r="Y27" s="14">
        <f>D8*Y$19*$K$4</f>
        <v>75.320000000000007</v>
      </c>
      <c r="Z27" s="14">
        <f>E8*Z$19*$K$4</f>
        <v>27.84</v>
      </c>
      <c r="AA27" s="13"/>
      <c r="AB27" s="14">
        <f>B8*AB$19*$K$4</f>
        <v>2301.2800000000002</v>
      </c>
      <c r="AC27" s="14">
        <f>C8*AC$19*$K$4</f>
        <v>264.40000000000003</v>
      </c>
      <c r="AD27" s="14">
        <f>D8*AD$19*$K$4</f>
        <v>86.08</v>
      </c>
      <c r="AE27" s="14">
        <f>E8*AE$19*$K$4</f>
        <v>39.15</v>
      </c>
      <c r="AF27" s="13"/>
      <c r="AG27" s="14">
        <f>B8*AG$19*$K$4</f>
        <v>1090.08</v>
      </c>
      <c r="AH27" s="14">
        <f>C8*AH$19*$K$4</f>
        <v>79.319999999999993</v>
      </c>
      <c r="AI27" s="14">
        <f>D8*AI$19*$K$4</f>
        <v>21.52</v>
      </c>
      <c r="AJ27" s="14">
        <f>E8*AJ$19*$K$4</f>
        <v>10.44</v>
      </c>
      <c r="AK27" s="13"/>
      <c r="AL27" s="14">
        <f>B8*AL$19</f>
        <v>6056</v>
      </c>
      <c r="AM27" s="14">
        <f>C8*AM$19</f>
        <v>661</v>
      </c>
      <c r="AN27" s="14">
        <f>D8*AN$19</f>
        <v>269</v>
      </c>
      <c r="AO27" s="14">
        <f>E8*AO$19</f>
        <v>87</v>
      </c>
      <c r="AP27" s="13"/>
      <c r="AQ27" s="15" t="s">
        <v>95</v>
      </c>
      <c r="AR27" s="35">
        <f>SUM(AR20:AR26)</f>
        <v>300</v>
      </c>
    </row>
    <row r="28" spans="1:44" x14ac:dyDescent="0.15">
      <c r="A28" s="13" t="s">
        <v>26</v>
      </c>
      <c r="B28" s="14">
        <f>H28+M28+R28+W28+AB28+AG28+AL28</f>
        <v>17906.05</v>
      </c>
      <c r="C28" s="14">
        <f>I28+N28+S28+X28+AC28+AH28+AM28</f>
        <v>2848.75</v>
      </c>
      <c r="D28" s="14">
        <f>J28+O28+T28+Y28+AD28+AI28+AN28</f>
        <v>1876.48</v>
      </c>
      <c r="E28" s="14">
        <f>K28+P28+U28+Z28+AE28+AJ28+AO28</f>
        <v>337.87</v>
      </c>
      <c r="F28" s="19">
        <f>F9</f>
        <v>112</v>
      </c>
      <c r="G28" s="13"/>
      <c r="H28" s="14">
        <f>B9*H$19*$K$4</f>
        <v>1486.54</v>
      </c>
      <c r="I28" s="14">
        <f>C9*I$19*$K$4</f>
        <v>193.5</v>
      </c>
      <c r="J28" s="14">
        <f>D9*J$19*$K$4</f>
        <v>109.95</v>
      </c>
      <c r="K28" s="14">
        <f>E9*K$19*$K$4</f>
        <v>22.6</v>
      </c>
      <c r="L28" s="13"/>
      <c r="M28" s="14">
        <f>B9*M$19*$K$4</f>
        <v>1689.25</v>
      </c>
      <c r="N28" s="14">
        <f>C9*N$19*$K$4</f>
        <v>301.00000000000006</v>
      </c>
      <c r="O28" s="14">
        <f>D9*O$19*$K$4</f>
        <v>256.55</v>
      </c>
      <c r="P28" s="14">
        <f>E9*P$19*$K$4</f>
        <v>45.2</v>
      </c>
      <c r="Q28" s="13"/>
      <c r="R28" s="14">
        <f>B9*R$19*$K$4</f>
        <v>2837.94</v>
      </c>
      <c r="S28" s="14">
        <f>C9*S$19*$K$4</f>
        <v>483.75</v>
      </c>
      <c r="T28" s="14">
        <f>D9*T$19*$K$4</f>
        <v>278.54000000000002</v>
      </c>
      <c r="U28" s="14">
        <f>E9*U$19*$K$4</f>
        <v>56.5</v>
      </c>
      <c r="V28" s="13"/>
      <c r="W28" s="14">
        <f>B9*W$19*$K$4</f>
        <v>1351.4</v>
      </c>
      <c r="X28" s="14">
        <f>C9*X$19*$K$4</f>
        <v>236.5</v>
      </c>
      <c r="Y28" s="14">
        <f>D9*Y$19*$K$4</f>
        <v>205.24</v>
      </c>
      <c r="Z28" s="14">
        <f>E9*Z$19*$K$4</f>
        <v>36.160000000000004</v>
      </c>
      <c r="AA28" s="13"/>
      <c r="AB28" s="14">
        <f>B9*AB$19*$K$4</f>
        <v>2567.66</v>
      </c>
      <c r="AC28" s="14">
        <f>C9*AC$19*$K$4</f>
        <v>430</v>
      </c>
      <c r="AD28" s="14">
        <f>D9*AD$19*$K$4</f>
        <v>234.56</v>
      </c>
      <c r="AE28" s="14">
        <f>E9*AE$19*$K$4</f>
        <v>50.85</v>
      </c>
      <c r="AF28" s="13"/>
      <c r="AG28" s="14">
        <f>B9*AG$19*$K$4</f>
        <v>1216.26</v>
      </c>
      <c r="AH28" s="14">
        <f>C9*AH$19*$K$4</f>
        <v>129</v>
      </c>
      <c r="AI28" s="14">
        <f>D9*AI$19*$K$4</f>
        <v>58.64</v>
      </c>
      <c r="AJ28" s="14">
        <f>E9*AJ$19*$K$4</f>
        <v>13.559999999999999</v>
      </c>
      <c r="AK28" s="13"/>
      <c r="AL28" s="14">
        <f>B9*AL$19</f>
        <v>6757</v>
      </c>
      <c r="AM28" s="14">
        <f>C9*AM$19</f>
        <v>1075</v>
      </c>
      <c r="AN28" s="14">
        <f>D9*AN$19</f>
        <v>733</v>
      </c>
      <c r="AO28" s="14">
        <f>E9*AO$19</f>
        <v>113</v>
      </c>
      <c r="AP28" s="13"/>
      <c r="AQ28" s="13"/>
      <c r="AR28" s="13"/>
    </row>
    <row r="29" spans="1:44" x14ac:dyDescent="0.15">
      <c r="A29" s="13" t="s">
        <v>28</v>
      </c>
      <c r="B29" s="14">
        <f>H29+M29+R29+W29+AB29+AG29+AL29</f>
        <v>19570.25</v>
      </c>
      <c r="C29" s="14">
        <f>I29+N29+S29+X29+AC29+AH29+AM29</f>
        <v>3421.15</v>
      </c>
      <c r="D29" s="14">
        <f>J29+O29+T29+Y29+AD29+AI29+AN29</f>
        <v>2647.04</v>
      </c>
      <c r="E29" s="14">
        <f>K29+P29+U29+Z29+AE29+AJ29+AO29</f>
        <v>313.95</v>
      </c>
      <c r="F29" s="19">
        <f>F10</f>
        <v>130</v>
      </c>
      <c r="G29" s="13"/>
      <c r="H29" s="14">
        <f>B10*H$19*$K$4</f>
        <v>1624.7</v>
      </c>
      <c r="I29" s="14">
        <f>C10*I$19*$K$4</f>
        <v>232.38</v>
      </c>
      <c r="J29" s="14">
        <f>D10*J$19*$K$4</f>
        <v>155.1</v>
      </c>
      <c r="K29" s="14">
        <f>E10*K$19*$K$4</f>
        <v>21</v>
      </c>
      <c r="L29" s="13"/>
      <c r="M29" s="14">
        <f>B10*M$19*$K$4</f>
        <v>1846.25</v>
      </c>
      <c r="N29" s="14">
        <f>C10*N$19*$K$4</f>
        <v>361.48</v>
      </c>
      <c r="O29" s="14">
        <f>D10*O$19*$K$4</f>
        <v>361.9</v>
      </c>
      <c r="P29" s="14">
        <f>E10*P$19*$K$4</f>
        <v>42</v>
      </c>
      <c r="Q29" s="13"/>
      <c r="R29" s="14">
        <f>B10*R$19*$K$4</f>
        <v>3101.7</v>
      </c>
      <c r="S29" s="14">
        <f>C10*S$19*$K$4</f>
        <v>580.95000000000005</v>
      </c>
      <c r="T29" s="14">
        <f>D10*T$19*$K$4</f>
        <v>392.92</v>
      </c>
      <c r="U29" s="14">
        <f>E10*U$19*$K$4</f>
        <v>52.5</v>
      </c>
      <c r="V29" s="13"/>
      <c r="W29" s="14">
        <f>B10*W$19*$K$4</f>
        <v>1477</v>
      </c>
      <c r="X29" s="14">
        <f>C10*X$19*$K$4</f>
        <v>284.02</v>
      </c>
      <c r="Y29" s="14">
        <f>D10*Y$19*$K$4</f>
        <v>289.52000000000004</v>
      </c>
      <c r="Z29" s="14">
        <f>E10*Z$19*$K$4</f>
        <v>33.6</v>
      </c>
      <c r="AA29" s="13"/>
      <c r="AB29" s="14">
        <f>B10*AB$19*$K$4</f>
        <v>2806.3</v>
      </c>
      <c r="AC29" s="14">
        <f>C10*AC$19*$K$4</f>
        <v>516.4</v>
      </c>
      <c r="AD29" s="14">
        <f>D10*AD$19*$K$4</f>
        <v>330.88</v>
      </c>
      <c r="AE29" s="14">
        <f>E10*AE$19*$K$4</f>
        <v>47.25</v>
      </c>
      <c r="AF29" s="13"/>
      <c r="AG29" s="14">
        <f>B10*AG$19*$K$4</f>
        <v>1329.3</v>
      </c>
      <c r="AH29" s="14">
        <f>C10*AH$19*$K$4</f>
        <v>154.91999999999999</v>
      </c>
      <c r="AI29" s="14">
        <f>D10*AI$19*$K$4</f>
        <v>82.72</v>
      </c>
      <c r="AJ29" s="14">
        <f>E10*AJ$19*$K$4</f>
        <v>12.6</v>
      </c>
      <c r="AK29" s="13"/>
      <c r="AL29" s="14">
        <f>B10*AL$19</f>
        <v>7385</v>
      </c>
      <c r="AM29" s="14">
        <f>C10*AM$19</f>
        <v>1291</v>
      </c>
      <c r="AN29" s="14">
        <f>D10*AN$19</f>
        <v>1034</v>
      </c>
      <c r="AO29" s="14">
        <f>E10*AO$19</f>
        <v>105</v>
      </c>
      <c r="AP29" s="13"/>
      <c r="AQ29" s="13"/>
      <c r="AR29" s="13"/>
    </row>
    <row r="30" spans="1:44" x14ac:dyDescent="0.15">
      <c r="A30" s="13" t="s">
        <v>30</v>
      </c>
      <c r="B30" s="14">
        <f>H30+M30+R30+W30+AB30+AG30+AL30</f>
        <v>18894.5</v>
      </c>
      <c r="C30" s="14">
        <f>I30+N30+S30+X30+AC30+AH30+AM30</f>
        <v>2901.75</v>
      </c>
      <c r="D30" s="14">
        <f>J30+O30+T30+Y30+AD30+AI30+AN30</f>
        <v>2063.36</v>
      </c>
      <c r="E30" s="14">
        <f>K30+P30+U30+Z30+AE30+AJ30+AO30</f>
        <v>278.07</v>
      </c>
      <c r="F30" s="19">
        <f>F11</f>
        <v>121</v>
      </c>
      <c r="G30" s="13"/>
      <c r="H30" s="14">
        <f>B11*H$19*$K$4</f>
        <v>1568.6</v>
      </c>
      <c r="I30" s="14">
        <f>C11*I$19*$K$4</f>
        <v>197.1</v>
      </c>
      <c r="J30" s="14">
        <f>D11*J$19*$K$4</f>
        <v>120.89999999999999</v>
      </c>
      <c r="K30" s="14">
        <f>E11*K$19*$K$4</f>
        <v>18.600000000000001</v>
      </c>
      <c r="L30" s="13"/>
      <c r="M30" s="14">
        <f>B11*M$19*$K$4</f>
        <v>1782.5</v>
      </c>
      <c r="N30" s="14">
        <f>C11*N$19*$K$4</f>
        <v>306.60000000000002</v>
      </c>
      <c r="O30" s="14">
        <f>D11*O$19*$K$4</f>
        <v>282.09999999999997</v>
      </c>
      <c r="P30" s="14">
        <f>E11*P$19*$K$4</f>
        <v>37.200000000000003</v>
      </c>
      <c r="Q30" s="13"/>
      <c r="R30" s="14">
        <f>B11*R$19*$K$4</f>
        <v>2994.6</v>
      </c>
      <c r="S30" s="14">
        <f>C11*S$19*$K$4</f>
        <v>492.75</v>
      </c>
      <c r="T30" s="14">
        <f>D11*T$19*$K$4</f>
        <v>306.28000000000003</v>
      </c>
      <c r="U30" s="14">
        <f>E11*U$19*$K$4</f>
        <v>46.5</v>
      </c>
      <c r="V30" s="13"/>
      <c r="W30" s="14">
        <f>B11*W$19*$K$4</f>
        <v>1426</v>
      </c>
      <c r="X30" s="14">
        <f>C11*X$19*$K$4</f>
        <v>240.9</v>
      </c>
      <c r="Y30" s="14">
        <f>D11*Y$19*$K$4</f>
        <v>225.68000000000004</v>
      </c>
      <c r="Z30" s="14">
        <f>E11*Z$19*$K$4</f>
        <v>29.76</v>
      </c>
      <c r="AA30" s="13"/>
      <c r="AB30" s="14">
        <f>B11*AB$19*$K$4</f>
        <v>2709.4</v>
      </c>
      <c r="AC30" s="14">
        <f>C11*AC$19*$K$4</f>
        <v>438</v>
      </c>
      <c r="AD30" s="14">
        <f>D11*AD$19*$K$4</f>
        <v>257.92</v>
      </c>
      <c r="AE30" s="14">
        <f>E11*AE$19*$K$4</f>
        <v>41.85</v>
      </c>
      <c r="AF30" s="13"/>
      <c r="AG30" s="14">
        <f>B11*AG$19*$K$4</f>
        <v>1283.3999999999999</v>
      </c>
      <c r="AH30" s="14">
        <f>C11*AH$19*$K$4</f>
        <v>131.4</v>
      </c>
      <c r="AI30" s="14">
        <f>D11*AI$19*$K$4</f>
        <v>64.48</v>
      </c>
      <c r="AJ30" s="14">
        <f>E11*AJ$19*$K$4</f>
        <v>11.16</v>
      </c>
      <c r="AK30" s="13"/>
      <c r="AL30" s="14">
        <f>B11*AL$19</f>
        <v>7130</v>
      </c>
      <c r="AM30" s="14">
        <f>C11*AM$19</f>
        <v>1095</v>
      </c>
      <c r="AN30" s="14">
        <f>D11*AN$19</f>
        <v>806</v>
      </c>
      <c r="AO30" s="14">
        <f>E11*AO$19</f>
        <v>93</v>
      </c>
      <c r="AP30" s="13"/>
      <c r="AQ30" s="13"/>
      <c r="AR30" s="13"/>
    </row>
    <row r="31" spans="1:44" x14ac:dyDescent="0.15">
      <c r="A31" s="13"/>
      <c r="B31" s="13"/>
      <c r="C31" s="13"/>
      <c r="D31" s="13"/>
      <c r="E31" s="13"/>
      <c r="F31" s="13"/>
      <c r="G31" s="13"/>
      <c r="H31" s="23">
        <v>0.22</v>
      </c>
      <c r="I31" s="23">
        <v>0.18</v>
      </c>
      <c r="J31" s="23">
        <v>0.15</v>
      </c>
      <c r="K31" s="23">
        <v>0.2</v>
      </c>
      <c r="L31" s="13"/>
      <c r="M31" s="25">
        <v>0.25</v>
      </c>
      <c r="N31" s="25">
        <v>0.28000000000000003</v>
      </c>
      <c r="O31" s="25">
        <v>0.35</v>
      </c>
      <c r="P31" s="25">
        <v>0.4</v>
      </c>
      <c r="Q31" s="13"/>
      <c r="R31" s="27">
        <v>0.42</v>
      </c>
      <c r="S31" s="27">
        <v>0.45</v>
      </c>
      <c r="T31" s="27">
        <v>0.38</v>
      </c>
      <c r="U31" s="27">
        <v>0.5</v>
      </c>
      <c r="V31" s="13"/>
      <c r="W31" s="25">
        <v>0.2</v>
      </c>
      <c r="X31" s="25">
        <v>0.22</v>
      </c>
      <c r="Y31" s="25">
        <v>0.28000000000000003</v>
      </c>
      <c r="Z31" s="25">
        <v>0.32</v>
      </c>
      <c r="AA31" s="13"/>
      <c r="AB31" s="27">
        <v>0.38</v>
      </c>
      <c r="AC31" s="27">
        <v>0.4</v>
      </c>
      <c r="AD31" s="27">
        <v>0.32</v>
      </c>
      <c r="AE31" s="27">
        <v>0.45</v>
      </c>
      <c r="AF31" s="13"/>
      <c r="AG31" s="29">
        <v>0.18</v>
      </c>
      <c r="AH31" s="29">
        <v>0.12</v>
      </c>
      <c r="AI31" s="29">
        <v>0.08</v>
      </c>
      <c r="AJ31" s="29">
        <v>0.12</v>
      </c>
      <c r="AK31" s="13"/>
      <c r="AL31" s="31">
        <v>1</v>
      </c>
      <c r="AM31" s="31">
        <v>1</v>
      </c>
      <c r="AN31" s="31">
        <v>1</v>
      </c>
      <c r="AO31" s="31">
        <v>1</v>
      </c>
      <c r="AP31" s="13"/>
      <c r="AQ31" s="33" t="s">
        <v>98</v>
      </c>
      <c r="AR31" s="33"/>
    </row>
    <row r="32" spans="1:44" ht="14" x14ac:dyDescent="0.15">
      <c r="A32" s="22" t="s">
        <v>97</v>
      </c>
      <c r="B32" s="22"/>
      <c r="C32" s="22"/>
      <c r="D32" s="22"/>
      <c r="E32" s="22"/>
      <c r="F32" s="22"/>
      <c r="G32" s="13"/>
      <c r="H32" s="24" t="s">
        <v>82</v>
      </c>
      <c r="I32" s="24"/>
      <c r="J32" s="24"/>
      <c r="K32" s="24"/>
      <c r="L32" s="13"/>
      <c r="M32" s="26" t="s">
        <v>83</v>
      </c>
      <c r="N32" s="26"/>
      <c r="O32" s="26"/>
      <c r="P32" s="26"/>
      <c r="Q32" s="13"/>
      <c r="R32" s="28" t="s">
        <v>84</v>
      </c>
      <c r="S32" s="28"/>
      <c r="T32" s="28"/>
      <c r="U32" s="28"/>
      <c r="V32" s="13"/>
      <c r="W32" s="26" t="s">
        <v>85</v>
      </c>
      <c r="X32" s="26"/>
      <c r="Y32" s="26"/>
      <c r="Z32" s="26"/>
      <c r="AA32" s="13"/>
      <c r="AB32" s="28" t="s">
        <v>86</v>
      </c>
      <c r="AC32" s="28"/>
      <c r="AD32" s="28"/>
      <c r="AE32" s="28"/>
      <c r="AF32" s="13"/>
      <c r="AG32" s="30" t="s">
        <v>87</v>
      </c>
      <c r="AH32" s="30"/>
      <c r="AI32" s="30"/>
      <c r="AJ32" s="30"/>
      <c r="AK32" s="13"/>
      <c r="AL32" s="32" t="s">
        <v>96</v>
      </c>
      <c r="AM32" s="32"/>
      <c r="AN32" s="32"/>
      <c r="AO32" s="32"/>
      <c r="AP32" s="13"/>
      <c r="AQ32" s="13" t="s">
        <v>36</v>
      </c>
      <c r="AR32" s="34">
        <v>30</v>
      </c>
    </row>
    <row r="33" spans="1:44" x14ac:dyDescent="0.15">
      <c r="A33" s="17" t="s">
        <v>2</v>
      </c>
      <c r="B33" s="17" t="s">
        <v>3</v>
      </c>
      <c r="C33" s="17" t="s">
        <v>4</v>
      </c>
      <c r="D33" s="17" t="s">
        <v>5</v>
      </c>
      <c r="E33" s="17" t="s">
        <v>6</v>
      </c>
      <c r="F33" s="17" t="s">
        <v>7</v>
      </c>
      <c r="G33" s="13"/>
      <c r="H33" s="17" t="s">
        <v>3</v>
      </c>
      <c r="I33" s="17" t="s">
        <v>4</v>
      </c>
      <c r="J33" s="17" t="s">
        <v>5</v>
      </c>
      <c r="K33" s="17" t="s">
        <v>6</v>
      </c>
      <c r="L33" s="13"/>
      <c r="M33" s="17" t="s">
        <v>3</v>
      </c>
      <c r="N33" s="17" t="s">
        <v>4</v>
      </c>
      <c r="O33" s="17" t="s">
        <v>5</v>
      </c>
      <c r="P33" s="17" t="s">
        <v>6</v>
      </c>
      <c r="Q33" s="13"/>
      <c r="R33" s="17" t="s">
        <v>3</v>
      </c>
      <c r="S33" s="17" t="s">
        <v>4</v>
      </c>
      <c r="T33" s="17" t="s">
        <v>5</v>
      </c>
      <c r="U33" s="17" t="s">
        <v>6</v>
      </c>
      <c r="V33" s="13"/>
      <c r="W33" s="17" t="s">
        <v>3</v>
      </c>
      <c r="X33" s="17" t="s">
        <v>4</v>
      </c>
      <c r="Y33" s="17" t="s">
        <v>5</v>
      </c>
      <c r="Z33" s="17" t="s">
        <v>6</v>
      </c>
      <c r="AA33" s="13"/>
      <c r="AB33" s="17" t="s">
        <v>3</v>
      </c>
      <c r="AC33" s="17" t="s">
        <v>4</v>
      </c>
      <c r="AD33" s="17" t="s">
        <v>5</v>
      </c>
      <c r="AE33" s="17" t="s">
        <v>6</v>
      </c>
      <c r="AF33" s="13"/>
      <c r="AG33" s="17" t="s">
        <v>3</v>
      </c>
      <c r="AH33" s="17" t="s">
        <v>4</v>
      </c>
      <c r="AI33" s="17" t="s">
        <v>5</v>
      </c>
      <c r="AJ33" s="17" t="s">
        <v>6</v>
      </c>
      <c r="AK33" s="13"/>
      <c r="AL33" s="17" t="s">
        <v>3</v>
      </c>
      <c r="AM33" s="17" t="s">
        <v>4</v>
      </c>
      <c r="AN33" s="17" t="s">
        <v>5</v>
      </c>
      <c r="AO33" s="17" t="s">
        <v>6</v>
      </c>
      <c r="AP33" s="13"/>
      <c r="AQ33" s="13" t="s">
        <v>91</v>
      </c>
      <c r="AR33" s="34">
        <v>30</v>
      </c>
    </row>
    <row r="34" spans="1:44" x14ac:dyDescent="0.15">
      <c r="A34" s="13" t="s">
        <v>14</v>
      </c>
      <c r="B34" s="14">
        <f>H34+M34+R34+W34+AB34+AG34+AL34</f>
        <v>14537.584000000001</v>
      </c>
      <c r="C34" s="14">
        <f>I34+N34+S34+X34+AC34+AH34+AM34</f>
        <v>1010.3439999999999</v>
      </c>
      <c r="D34" s="14">
        <f>J34+O34+T34+Y34+AD34+AI34+AN34</f>
        <v>249.76</v>
      </c>
      <c r="E34" s="14">
        <f>K34+P34+U34+Z34+AE34+AJ34+AO34</f>
        <v>90.222400000000007</v>
      </c>
      <c r="F34" s="19">
        <f>F3</f>
        <v>85</v>
      </c>
      <c r="G34" s="13"/>
      <c r="H34" s="14">
        <f>B3*H$31*$K$5</f>
        <v>1188.2112</v>
      </c>
      <c r="I34" s="14">
        <f>C3*I$31*$K$5</f>
        <v>67.564799999999991</v>
      </c>
      <c r="J34" s="14">
        <f>D3*J$31*$K$5</f>
        <v>14.399999999999999</v>
      </c>
      <c r="K34" s="14">
        <f>E3*K$31*$K$5</f>
        <v>5.952</v>
      </c>
      <c r="L34" s="13"/>
      <c r="M34" s="14">
        <f>B3*M$31*$K$5</f>
        <v>1350.24</v>
      </c>
      <c r="N34" s="14">
        <f>C3*N$31*$K$5</f>
        <v>105.10080000000001</v>
      </c>
      <c r="O34" s="14">
        <f>D3*O$31*$K$5</f>
        <v>33.6</v>
      </c>
      <c r="P34" s="14">
        <f>E3*P$31*$K$5</f>
        <v>11.904</v>
      </c>
      <c r="Q34" s="13"/>
      <c r="R34" s="14">
        <f>B3*R$31*$K$5</f>
        <v>2268.4032000000002</v>
      </c>
      <c r="S34" s="14">
        <f>C3*S$31*$K$5</f>
        <v>168.91200000000001</v>
      </c>
      <c r="T34" s="14">
        <f>D3*T$31*$K$5</f>
        <v>36.479999999999997</v>
      </c>
      <c r="U34" s="14">
        <f>E3*U$31*$K$5</f>
        <v>14.879999999999999</v>
      </c>
      <c r="V34" s="13"/>
      <c r="W34" s="14">
        <f>B3*W$31*$K$5</f>
        <v>1080.192</v>
      </c>
      <c r="X34" s="14">
        <f>C3*X$31*$K$5</f>
        <v>82.5792</v>
      </c>
      <c r="Y34" s="14">
        <f>D3*Y$31*$K$5</f>
        <v>26.880000000000003</v>
      </c>
      <c r="Z34" s="14">
        <f>E3*Z$31*$K$5</f>
        <v>9.5231999999999992</v>
      </c>
      <c r="AA34" s="13"/>
      <c r="AB34" s="14">
        <f>B3*AB$31*$K$5</f>
        <v>2052.3647999999998</v>
      </c>
      <c r="AC34" s="14">
        <f>C3*AC$31*$K$5</f>
        <v>150.14400000000001</v>
      </c>
      <c r="AD34" s="14">
        <f>D3*AD$31*$K$5</f>
        <v>30.72</v>
      </c>
      <c r="AE34" s="14">
        <f>E3*AE$31*$K$5</f>
        <v>13.392000000000001</v>
      </c>
      <c r="AF34" s="13"/>
      <c r="AG34" s="14">
        <f>B3*AG$31*$K$5</f>
        <v>972.17279999999994</v>
      </c>
      <c r="AH34" s="14">
        <f>C3*AH$31*$K$5</f>
        <v>45.043199999999999</v>
      </c>
      <c r="AI34" s="14">
        <f>D3*AI$31*$K$5</f>
        <v>7.68</v>
      </c>
      <c r="AJ34" s="14">
        <f>E3*AJ$31*$K$5</f>
        <v>3.5711999999999997</v>
      </c>
      <c r="AK34" s="13"/>
      <c r="AL34" s="14">
        <f>B3*AL$31</f>
        <v>5626</v>
      </c>
      <c r="AM34" s="14">
        <f>C3*AM$31</f>
        <v>391</v>
      </c>
      <c r="AN34" s="14">
        <f>D3*AN$31</f>
        <v>100</v>
      </c>
      <c r="AO34" s="14">
        <f>E3*AO$31</f>
        <v>31</v>
      </c>
      <c r="AP34" s="13"/>
      <c r="AQ34" s="13" t="s">
        <v>92</v>
      </c>
      <c r="AR34" s="34">
        <v>60</v>
      </c>
    </row>
    <row r="35" spans="1:44" x14ac:dyDescent="0.15">
      <c r="A35" s="13" t="s">
        <v>15</v>
      </c>
      <c r="B35" s="14">
        <f>H35+M35+R35+W35+AB35+AG35+AL35</f>
        <v>14178.407999999999</v>
      </c>
      <c r="C35" s="14">
        <f>I35+N35+S35+X35+AC35+AH35+AM35</f>
        <v>940.57600000000002</v>
      </c>
      <c r="D35" s="14">
        <f>J35+O35+T35+Y35+AD35+AI35+AN35</f>
        <v>349.66399999999999</v>
      </c>
      <c r="E35" s="14">
        <f>K35+P35+U35+Z35+AE35+AJ35+AO35</f>
        <v>87.311999999999998</v>
      </c>
      <c r="F35" s="19">
        <f>F4</f>
        <v>81</v>
      </c>
      <c r="G35" s="13"/>
      <c r="H35" s="14">
        <f>B4*H$31*$K$5</f>
        <v>1158.8543999999999</v>
      </c>
      <c r="I35" s="14">
        <f>C4*I$31*$K$5</f>
        <v>62.899199999999993</v>
      </c>
      <c r="J35" s="14">
        <f>D4*J$31*$K$5</f>
        <v>20.16</v>
      </c>
      <c r="K35" s="14">
        <f>E4*K$31*$K$5</f>
        <v>5.76</v>
      </c>
      <c r="L35" s="13"/>
      <c r="M35" s="14">
        <f>B4*M$31*$K$5</f>
        <v>1316.8799999999999</v>
      </c>
      <c r="N35" s="14">
        <f>C4*N$31*$K$5</f>
        <v>97.84320000000001</v>
      </c>
      <c r="O35" s="14">
        <f>D4*O$31*$K$5</f>
        <v>47.04</v>
      </c>
      <c r="P35" s="14">
        <f>E4*P$31*$K$5</f>
        <v>11.52</v>
      </c>
      <c r="Q35" s="13"/>
      <c r="R35" s="14">
        <f>B4*R$31*$K$5</f>
        <v>2212.3584000000001</v>
      </c>
      <c r="S35" s="14">
        <f>C4*S$31*$K$5</f>
        <v>157.24800000000002</v>
      </c>
      <c r="T35" s="14">
        <f>D4*T$31*$K$5</f>
        <v>51.072000000000003</v>
      </c>
      <c r="U35" s="14">
        <f>E4*U$31*$K$5</f>
        <v>14.399999999999999</v>
      </c>
      <c r="V35" s="13"/>
      <c r="W35" s="14">
        <f>B4*W$31*$K$5</f>
        <v>1053.5040000000001</v>
      </c>
      <c r="X35" s="14">
        <f>C4*X$31*$K$5</f>
        <v>76.876799999999989</v>
      </c>
      <c r="Y35" s="14">
        <f>D4*Y$31*$K$5</f>
        <v>37.631999999999998</v>
      </c>
      <c r="Z35" s="14">
        <f>E4*Z$31*$K$5</f>
        <v>9.2159999999999993</v>
      </c>
      <c r="AA35" s="13"/>
      <c r="AB35" s="14">
        <f>B4*AB$31*$K$5</f>
        <v>2001.6575999999998</v>
      </c>
      <c r="AC35" s="14">
        <f>C4*AC$31*$K$5</f>
        <v>139.77599999999998</v>
      </c>
      <c r="AD35" s="14">
        <f>D4*AD$31*$K$5</f>
        <v>43.008000000000003</v>
      </c>
      <c r="AE35" s="14">
        <f>E4*AE$31*$K$5</f>
        <v>12.959999999999999</v>
      </c>
      <c r="AF35" s="13"/>
      <c r="AG35" s="14">
        <f>B4*AG$31*$K$5</f>
        <v>948.15359999999998</v>
      </c>
      <c r="AH35" s="14">
        <f>C4*AH$31*$K$5</f>
        <v>41.9328</v>
      </c>
      <c r="AI35" s="14">
        <f>D4*AI$31*$K$5</f>
        <v>10.752000000000001</v>
      </c>
      <c r="AJ35" s="14">
        <f>E4*AJ$31*$K$5</f>
        <v>3.4559999999999995</v>
      </c>
      <c r="AK35" s="13"/>
      <c r="AL35" s="14">
        <f>B4*AL$31</f>
        <v>5487</v>
      </c>
      <c r="AM35" s="14">
        <f>C4*AM$31</f>
        <v>364</v>
      </c>
      <c r="AN35" s="14">
        <f>D4*AN$31</f>
        <v>140</v>
      </c>
      <c r="AO35" s="14">
        <f>E4*AO$31</f>
        <v>30</v>
      </c>
      <c r="AP35" s="13"/>
      <c r="AQ35" s="13" t="s">
        <v>93</v>
      </c>
      <c r="AR35" s="34">
        <v>25</v>
      </c>
    </row>
    <row r="36" spans="1:44" x14ac:dyDescent="0.15">
      <c r="A36" s="13" t="s">
        <v>18</v>
      </c>
      <c r="B36" s="14">
        <f>H36+M36+R36+W36+AB36+AG36+AL36</f>
        <v>16302.456</v>
      </c>
      <c r="C36" s="14">
        <f>I36+N36+S36+X36+AC36+AH36+AM36</f>
        <v>1454.7919999999999</v>
      </c>
      <c r="D36" s="14">
        <f>J36+O36+T36+Y36+AD36+AI36+AN36</f>
        <v>709.3184</v>
      </c>
      <c r="E36" s="14">
        <f>K36+P36+U36+Z36+AE36+AJ36+AO36</f>
        <v>154.25119999999998</v>
      </c>
      <c r="F36" s="19">
        <f>F5</f>
        <v>103</v>
      </c>
      <c r="G36" s="13"/>
      <c r="H36" s="14">
        <f>B5*H$31*$K$5</f>
        <v>1332.4608000000001</v>
      </c>
      <c r="I36" s="14">
        <f>C5*I$31*$K$5</f>
        <v>97.286399999999986</v>
      </c>
      <c r="J36" s="14">
        <f>D5*J$31*$K$5</f>
        <v>40.896000000000001</v>
      </c>
      <c r="K36" s="14">
        <f>E5*K$31*$K$5</f>
        <v>10.176</v>
      </c>
      <c r="L36" s="13"/>
      <c r="M36" s="14">
        <f>B5*M$31*$K$5</f>
        <v>1514.1599999999999</v>
      </c>
      <c r="N36" s="14">
        <f>C5*N$31*$K$5</f>
        <v>151.33440000000002</v>
      </c>
      <c r="O36" s="14">
        <f>D5*O$31*$K$5</f>
        <v>95.423999999999992</v>
      </c>
      <c r="P36" s="14">
        <f>E5*P$31*$K$5</f>
        <v>20.352</v>
      </c>
      <c r="Q36" s="13"/>
      <c r="R36" s="14">
        <f>B5*R$31*$K$5</f>
        <v>2543.7887999999998</v>
      </c>
      <c r="S36" s="14">
        <f>C5*S$31*$K$5</f>
        <v>243.21599999999998</v>
      </c>
      <c r="T36" s="14">
        <f>D5*T$31*$K$5</f>
        <v>103.6032</v>
      </c>
      <c r="U36" s="14">
        <f>E5*U$31*$K$5</f>
        <v>25.439999999999998</v>
      </c>
      <c r="V36" s="13"/>
      <c r="W36" s="14">
        <f>B5*W$31*$K$5</f>
        <v>1211.3280000000002</v>
      </c>
      <c r="X36" s="14">
        <f>C5*X$31*$K$5</f>
        <v>118.90559999999999</v>
      </c>
      <c r="Y36" s="14">
        <f>D5*Y$31*$K$5</f>
        <v>76.339200000000005</v>
      </c>
      <c r="Z36" s="14">
        <f>E5*Z$31*$K$5</f>
        <v>16.281600000000001</v>
      </c>
      <c r="AA36" s="13"/>
      <c r="AB36" s="14">
        <f>B5*AB$31*$K$5</f>
        <v>2301.5232000000001</v>
      </c>
      <c r="AC36" s="14">
        <f>C5*AC$31*$K$5</f>
        <v>216.19200000000001</v>
      </c>
      <c r="AD36" s="14">
        <f>D5*AD$31*$K$5</f>
        <v>87.244799999999998</v>
      </c>
      <c r="AE36" s="14">
        <f>E5*AE$31*$K$5</f>
        <v>22.896000000000001</v>
      </c>
      <c r="AF36" s="13"/>
      <c r="AG36" s="14">
        <f>B5*AG$31*$K$5</f>
        <v>1090.1951999999999</v>
      </c>
      <c r="AH36" s="14">
        <f>C5*AH$31*$K$5</f>
        <v>64.857600000000005</v>
      </c>
      <c r="AI36" s="14">
        <f>D5*AI$31*$K$5</f>
        <v>21.811199999999999</v>
      </c>
      <c r="AJ36" s="14">
        <f>E5*AJ$31*$K$5</f>
        <v>6.105599999999999</v>
      </c>
      <c r="AK36" s="13"/>
      <c r="AL36" s="14">
        <f>B5*AL$31</f>
        <v>6309</v>
      </c>
      <c r="AM36" s="14">
        <f>C5*AM$31</f>
        <v>563</v>
      </c>
      <c r="AN36" s="14">
        <f>D5*AN$31</f>
        <v>284</v>
      </c>
      <c r="AO36" s="14">
        <f>E5*AO$31</f>
        <v>53</v>
      </c>
      <c r="AP36" s="13"/>
      <c r="AQ36" s="13" t="s">
        <v>94</v>
      </c>
      <c r="AR36" s="34">
        <v>55</v>
      </c>
    </row>
    <row r="37" spans="1:44" x14ac:dyDescent="0.15">
      <c r="A37" s="13" t="s">
        <v>20</v>
      </c>
      <c r="B37" s="14">
        <f>H37+M37+R37+W37+AB37+AG37+AL37</f>
        <v>16535.016</v>
      </c>
      <c r="C37" s="14">
        <f>I37+N37+S37+X37+AC37+AH37+AM37</f>
        <v>1803.6319999999998</v>
      </c>
      <c r="D37" s="14">
        <f>J37+O37+T37+Y37+AD37+AI37+AN37</f>
        <v>889.14559999999994</v>
      </c>
      <c r="E37" s="14">
        <f>K37+P37+U37+Z37+AE37+AJ37+AO37</f>
        <v>206.63839999999999</v>
      </c>
      <c r="F37" s="19">
        <f>F6</f>
        <v>106</v>
      </c>
      <c r="G37" s="13"/>
      <c r="H37" s="14">
        <f>B6*H$31*$K$5</f>
        <v>1351.4687999999999</v>
      </c>
      <c r="I37" s="14">
        <f>C6*I$31*$K$5</f>
        <v>120.61439999999999</v>
      </c>
      <c r="J37" s="14">
        <f>D6*J$31*$K$5</f>
        <v>51.263999999999996</v>
      </c>
      <c r="K37" s="14">
        <f>E6*K$31*$K$5</f>
        <v>13.632</v>
      </c>
      <c r="L37" s="13"/>
      <c r="M37" s="14">
        <f>B6*M$31*$K$5</f>
        <v>1535.76</v>
      </c>
      <c r="N37" s="14">
        <f>C6*N$31*$K$5</f>
        <v>187.62240000000003</v>
      </c>
      <c r="O37" s="14">
        <f>D6*O$31*$K$5</f>
        <v>119.61599999999999</v>
      </c>
      <c r="P37" s="14">
        <f>E6*P$31*$K$5</f>
        <v>27.263999999999999</v>
      </c>
      <c r="Q37" s="13"/>
      <c r="R37" s="14">
        <f>B6*R$31*$K$5</f>
        <v>2580.0767999999998</v>
      </c>
      <c r="S37" s="14">
        <f>C6*S$31*$K$5</f>
        <v>301.536</v>
      </c>
      <c r="T37" s="14">
        <f>D6*T$31*$K$5</f>
        <v>129.86879999999999</v>
      </c>
      <c r="U37" s="14">
        <f>E6*U$31*$K$5</f>
        <v>34.08</v>
      </c>
      <c r="V37" s="13"/>
      <c r="W37" s="14">
        <f>B6*W$31*$K$5</f>
        <v>1228.6080000000002</v>
      </c>
      <c r="X37" s="14">
        <f>C6*X$31*$K$5</f>
        <v>147.41759999999999</v>
      </c>
      <c r="Y37" s="14">
        <f>D6*Y$31*$K$5</f>
        <v>95.692800000000005</v>
      </c>
      <c r="Z37" s="14">
        <f>E6*Z$31*$K$5</f>
        <v>21.811199999999999</v>
      </c>
      <c r="AA37" s="13"/>
      <c r="AB37" s="14">
        <f>B6*AB$31*$K$5</f>
        <v>2334.3552</v>
      </c>
      <c r="AC37" s="14">
        <f>C6*AC$31*$K$5</f>
        <v>268.03199999999998</v>
      </c>
      <c r="AD37" s="14">
        <f>D6*AD$31*$K$5</f>
        <v>109.36319999999999</v>
      </c>
      <c r="AE37" s="14">
        <f>E6*AE$31*$K$5</f>
        <v>30.671999999999997</v>
      </c>
      <c r="AF37" s="13"/>
      <c r="AG37" s="14">
        <f>B6*AG$31*$K$5</f>
        <v>1105.7471999999998</v>
      </c>
      <c r="AH37" s="14">
        <f>C6*AH$31*$K$5</f>
        <v>80.409599999999983</v>
      </c>
      <c r="AI37" s="14">
        <f>D6*AI$31*$K$5</f>
        <v>27.340799999999998</v>
      </c>
      <c r="AJ37" s="14">
        <f>E6*AJ$31*$K$5</f>
        <v>8.1791999999999998</v>
      </c>
      <c r="AK37" s="13"/>
      <c r="AL37" s="14">
        <f>B6*AL$31</f>
        <v>6399</v>
      </c>
      <c r="AM37" s="14">
        <f>C6*AM$31</f>
        <v>698</v>
      </c>
      <c r="AN37" s="14">
        <f>D6*AN$31</f>
        <v>356</v>
      </c>
      <c r="AO37" s="14">
        <f>E6*AO$31</f>
        <v>71</v>
      </c>
      <c r="AP37" s="13"/>
      <c r="AQ37" s="13" t="s">
        <v>39</v>
      </c>
      <c r="AR37" s="34">
        <v>20</v>
      </c>
    </row>
    <row r="38" spans="1:44" x14ac:dyDescent="0.15">
      <c r="A38" s="13" t="s">
        <v>22</v>
      </c>
      <c r="B38" s="14">
        <f>H38+M38+R38+W38+AB38+AG38+AL38</f>
        <v>16754.655999999999</v>
      </c>
      <c r="C38" s="14">
        <f>I38+N38+S38+X38+AC38+AH38+AM38</f>
        <v>3082.7120000000004</v>
      </c>
      <c r="D38" s="14">
        <f>J38+O38+T38+Y38+AD38+AI38+AN38</f>
        <v>2045.5344</v>
      </c>
      <c r="E38" s="14">
        <f>K38+P38+U38+Z38+AE38+AJ38+AO38</f>
        <v>296.86079999999998</v>
      </c>
      <c r="F38" s="19">
        <f>F7</f>
        <v>106</v>
      </c>
      <c r="G38" s="13"/>
      <c r="H38" s="14">
        <f>B7*H$31*$K$5</f>
        <v>1369.4207999999999</v>
      </c>
      <c r="I38" s="14">
        <f>C7*I$31*$K$5</f>
        <v>206.15039999999996</v>
      </c>
      <c r="J38" s="14">
        <f>D7*J$31*$K$5</f>
        <v>117.93599999999999</v>
      </c>
      <c r="K38" s="14">
        <f>E7*K$31*$K$5</f>
        <v>19.584</v>
      </c>
      <c r="L38" s="13"/>
      <c r="M38" s="14">
        <f>B7*M$31*$K$5</f>
        <v>1556.1599999999999</v>
      </c>
      <c r="N38" s="14">
        <f>C7*N$31*$K$5</f>
        <v>320.67840000000001</v>
      </c>
      <c r="O38" s="14">
        <f>D7*O$31*$K$5</f>
        <v>275.18399999999997</v>
      </c>
      <c r="P38" s="14">
        <f>E7*P$31*$K$5</f>
        <v>39.167999999999999</v>
      </c>
      <c r="Q38" s="13"/>
      <c r="R38" s="14">
        <f>B7*R$31*$K$5</f>
        <v>2614.3487999999998</v>
      </c>
      <c r="S38" s="14">
        <f>C7*S$31*$K$5</f>
        <v>515.37599999999998</v>
      </c>
      <c r="T38" s="14">
        <f>D7*T$31*$K$5</f>
        <v>298.77120000000002</v>
      </c>
      <c r="U38" s="14">
        <f>E7*U$31*$K$5</f>
        <v>48.96</v>
      </c>
      <c r="V38" s="13"/>
      <c r="W38" s="14">
        <f>B7*W$31*$K$5</f>
        <v>1244.9280000000001</v>
      </c>
      <c r="X38" s="14">
        <f>C7*X$31*$K$5</f>
        <v>251.96159999999998</v>
      </c>
      <c r="Y38" s="14">
        <f>D7*Y$31*$K$5</f>
        <v>220.14720000000003</v>
      </c>
      <c r="Z38" s="14">
        <f>E7*Z$31*$K$5</f>
        <v>31.334399999999999</v>
      </c>
      <c r="AA38" s="13"/>
      <c r="AB38" s="14">
        <f>B7*AB$31*$K$5</f>
        <v>2365.3631999999998</v>
      </c>
      <c r="AC38" s="14">
        <f>C7*AC$31*$K$5</f>
        <v>458.11200000000002</v>
      </c>
      <c r="AD38" s="14">
        <f>D7*AD$31*$K$5</f>
        <v>251.59679999999997</v>
      </c>
      <c r="AE38" s="14">
        <f>E7*AE$31*$K$5</f>
        <v>44.064</v>
      </c>
      <c r="AF38" s="13"/>
      <c r="AG38" s="14">
        <f>B7*AG$31*$K$5</f>
        <v>1120.4351999999999</v>
      </c>
      <c r="AH38" s="14">
        <f>C7*AH$31*$K$5</f>
        <v>137.43359999999998</v>
      </c>
      <c r="AI38" s="14">
        <f>D7*AI$31*$K$5</f>
        <v>62.899199999999993</v>
      </c>
      <c r="AJ38" s="14">
        <f>E7*AJ$31*$K$5</f>
        <v>11.750399999999999</v>
      </c>
      <c r="AK38" s="13"/>
      <c r="AL38" s="14">
        <f>B7*AL$31</f>
        <v>6484</v>
      </c>
      <c r="AM38" s="14">
        <f>C7*AM$31</f>
        <v>1193</v>
      </c>
      <c r="AN38" s="14">
        <f>D7*AN$31</f>
        <v>819</v>
      </c>
      <c r="AO38" s="14">
        <f>E7*AO$31</f>
        <v>102</v>
      </c>
      <c r="AP38" s="13"/>
      <c r="AQ38" s="13" t="s">
        <v>45</v>
      </c>
      <c r="AR38" s="34">
        <v>80</v>
      </c>
    </row>
    <row r="39" spans="1:44" x14ac:dyDescent="0.15">
      <c r="A39" s="13" t="s">
        <v>24</v>
      </c>
      <c r="B39" s="14">
        <f>H39+M39+R39+W39+AB39+AG39+AL39</f>
        <v>15648.704000000002</v>
      </c>
      <c r="C39" s="14">
        <f>I39+N39+S39+X39+AC39+AH39+AM39</f>
        <v>1708.0239999999999</v>
      </c>
      <c r="D39" s="14">
        <f>J39+O39+T39+Y39+AD39+AI39+AN39</f>
        <v>671.85439999999994</v>
      </c>
      <c r="E39" s="14">
        <f>K39+P39+U39+Z39+AE39+AJ39+AO39</f>
        <v>253.20480000000001</v>
      </c>
      <c r="F39" s="19">
        <f>F8</f>
        <v>95</v>
      </c>
      <c r="G39" s="13"/>
      <c r="H39" s="14">
        <f>B8*H$31*$K$5</f>
        <v>1279.0272</v>
      </c>
      <c r="I39" s="14">
        <f>C8*I$31*$K$5</f>
        <v>114.22079999999998</v>
      </c>
      <c r="J39" s="14">
        <f>D8*J$31*$K$5</f>
        <v>38.735999999999997</v>
      </c>
      <c r="K39" s="14">
        <f>E8*K$31*$K$5</f>
        <v>16.704000000000001</v>
      </c>
      <c r="L39" s="13"/>
      <c r="M39" s="14">
        <f>B8*M$31*$K$5</f>
        <v>1453.44</v>
      </c>
      <c r="N39" s="14">
        <f>C8*N$31*$K$5</f>
        <v>177.67680000000001</v>
      </c>
      <c r="O39" s="14">
        <f>D8*O$31*$K$5</f>
        <v>90.383999999999986</v>
      </c>
      <c r="P39" s="14">
        <f>E8*P$31*$K$5</f>
        <v>33.408000000000001</v>
      </c>
      <c r="Q39" s="13"/>
      <c r="R39" s="14">
        <f>B8*R$31*$K$5</f>
        <v>2441.7791999999999</v>
      </c>
      <c r="S39" s="14">
        <f>C8*S$31*$K$5</f>
        <v>285.55199999999996</v>
      </c>
      <c r="T39" s="14">
        <f>D8*T$31*$K$5</f>
        <v>98.131199999999993</v>
      </c>
      <c r="U39" s="14">
        <f>E8*U$31*$K$5</f>
        <v>41.76</v>
      </c>
      <c r="V39" s="13"/>
      <c r="W39" s="14">
        <f>B8*W$31*$K$5</f>
        <v>1162.752</v>
      </c>
      <c r="X39" s="14">
        <f>C8*X$31*$K$5</f>
        <v>139.60319999999999</v>
      </c>
      <c r="Y39" s="14">
        <f>D8*Y$31*$K$5</f>
        <v>72.307200000000009</v>
      </c>
      <c r="Z39" s="14">
        <f>E8*Z$31*$K$5</f>
        <v>26.726399999999998</v>
      </c>
      <c r="AA39" s="13"/>
      <c r="AB39" s="14">
        <f>B8*AB$31*$K$5</f>
        <v>2209.2288000000003</v>
      </c>
      <c r="AC39" s="14">
        <f>C8*AC$31*$K$5</f>
        <v>253.82400000000001</v>
      </c>
      <c r="AD39" s="14">
        <f>D8*AD$31*$K$5</f>
        <v>82.636799999999994</v>
      </c>
      <c r="AE39" s="14">
        <f>E8*AE$31*$K$5</f>
        <v>37.583999999999996</v>
      </c>
      <c r="AF39" s="13"/>
      <c r="AG39" s="14">
        <f>B8*AG$31*$K$5</f>
        <v>1046.4767999999999</v>
      </c>
      <c r="AH39" s="14">
        <f>C8*AH$31*$K$5</f>
        <v>76.147199999999984</v>
      </c>
      <c r="AI39" s="14">
        <f>D8*AI$31*$K$5</f>
        <v>20.659199999999998</v>
      </c>
      <c r="AJ39" s="14">
        <f>E8*AJ$31*$K$5</f>
        <v>10.022399999999999</v>
      </c>
      <c r="AK39" s="13"/>
      <c r="AL39" s="14">
        <f>B8*AL$31</f>
        <v>6056</v>
      </c>
      <c r="AM39" s="14">
        <f>C8*AM$31</f>
        <v>661</v>
      </c>
      <c r="AN39" s="14">
        <f>D8*AN$31</f>
        <v>269</v>
      </c>
      <c r="AO39" s="14">
        <f>E8*AO$31</f>
        <v>87</v>
      </c>
      <c r="AP39" s="13"/>
      <c r="AQ39" s="15" t="s">
        <v>95</v>
      </c>
      <c r="AR39" s="35">
        <f>SUM(AR32:AR38)</f>
        <v>300</v>
      </c>
    </row>
    <row r="40" spans="1:44" x14ac:dyDescent="0.15">
      <c r="A40" s="13" t="s">
        <v>26</v>
      </c>
      <c r="B40" s="14">
        <f>H40+M40+R40+W40+AB40+AG40+AL40</f>
        <v>17460.088</v>
      </c>
      <c r="C40" s="14">
        <f>I40+N40+S40+X40+AC40+AH40+AM40</f>
        <v>2777.8</v>
      </c>
      <c r="D40" s="14">
        <f>J40+O40+T40+Y40+AD40+AI40+AN40</f>
        <v>1830.7408</v>
      </c>
      <c r="E40" s="14">
        <f>K40+P40+U40+Z40+AE40+AJ40+AO40</f>
        <v>328.87520000000001</v>
      </c>
      <c r="F40" s="19">
        <f>F9</f>
        <v>112</v>
      </c>
      <c r="G40" s="13"/>
      <c r="H40" s="14">
        <f>B9*H$31*$K$5</f>
        <v>1427.0783999999999</v>
      </c>
      <c r="I40" s="14">
        <f>C9*I$31*$K$5</f>
        <v>185.76</v>
      </c>
      <c r="J40" s="14">
        <f>D9*J$31*$K$5</f>
        <v>105.55199999999999</v>
      </c>
      <c r="K40" s="14">
        <f>E9*K$31*$K$5</f>
        <v>21.696000000000002</v>
      </c>
      <c r="L40" s="13"/>
      <c r="M40" s="14">
        <f>B9*M$31*$K$5</f>
        <v>1621.6799999999998</v>
      </c>
      <c r="N40" s="14">
        <f>C9*N$31*$K$5</f>
        <v>288.96000000000004</v>
      </c>
      <c r="O40" s="14">
        <f>D9*O$31*$K$5</f>
        <v>246.28800000000001</v>
      </c>
      <c r="P40" s="14">
        <f>E9*P$31*$K$5</f>
        <v>43.392000000000003</v>
      </c>
      <c r="Q40" s="13"/>
      <c r="R40" s="14">
        <f>B9*R$31*$K$5</f>
        <v>2724.4223999999999</v>
      </c>
      <c r="S40" s="14">
        <f>C9*S$31*$K$5</f>
        <v>464.4</v>
      </c>
      <c r="T40" s="14">
        <f>D9*T$31*$K$5</f>
        <v>267.39840000000004</v>
      </c>
      <c r="U40" s="14">
        <f>E9*U$31*$K$5</f>
        <v>54.239999999999995</v>
      </c>
      <c r="V40" s="13"/>
      <c r="W40" s="14">
        <f>B9*W$31*$K$5</f>
        <v>1297.3440000000001</v>
      </c>
      <c r="X40" s="14">
        <f>C9*X$31*$K$5</f>
        <v>227.04</v>
      </c>
      <c r="Y40" s="14">
        <f>D9*Y$31*$K$5</f>
        <v>197.03040000000001</v>
      </c>
      <c r="Z40" s="14">
        <f>E9*Z$31*$K$5</f>
        <v>34.7136</v>
      </c>
      <c r="AA40" s="13"/>
      <c r="AB40" s="14">
        <f>B9*AB$31*$K$5</f>
        <v>2464.9535999999998</v>
      </c>
      <c r="AC40" s="14">
        <f>C9*AC$31*$K$5</f>
        <v>412.8</v>
      </c>
      <c r="AD40" s="14">
        <f>D9*AD$31*$K$5</f>
        <v>225.17759999999998</v>
      </c>
      <c r="AE40" s="14">
        <f>E9*AE$31*$K$5</f>
        <v>48.816000000000003</v>
      </c>
      <c r="AF40" s="13"/>
      <c r="AG40" s="14">
        <f>B9*AG$31*$K$5</f>
        <v>1167.6096</v>
      </c>
      <c r="AH40" s="14">
        <f>C9*AH$31*$K$5</f>
        <v>123.83999999999999</v>
      </c>
      <c r="AI40" s="14">
        <f>D9*AI$31*$K$5</f>
        <v>56.294399999999996</v>
      </c>
      <c r="AJ40" s="14">
        <f>E9*AJ$31*$K$5</f>
        <v>13.017599999999998</v>
      </c>
      <c r="AK40" s="13"/>
      <c r="AL40" s="14">
        <f>B9*AL$31</f>
        <v>6757</v>
      </c>
      <c r="AM40" s="14">
        <f>C9*AM$31</f>
        <v>1075</v>
      </c>
      <c r="AN40" s="14">
        <f>D9*AN$31</f>
        <v>733</v>
      </c>
      <c r="AO40" s="14">
        <f>E9*AO$31</f>
        <v>113</v>
      </c>
      <c r="AP40" s="13"/>
      <c r="AQ40" s="13"/>
      <c r="AR40" s="13"/>
    </row>
    <row r="41" spans="1:44" x14ac:dyDescent="0.15">
      <c r="A41" s="13" t="s">
        <v>28</v>
      </c>
      <c r="B41" s="14">
        <f>H41+M41+R41+W41+AB41+AG41+AL41</f>
        <v>19082.84</v>
      </c>
      <c r="C41" s="14">
        <f>I41+N41+S41+X41+AC41+AH41+AM41</f>
        <v>3335.9439999999995</v>
      </c>
      <c r="D41" s="14">
        <f>J41+O41+T41+Y41+AD41+AI41+AN41</f>
        <v>2582.5183999999999</v>
      </c>
      <c r="E41" s="14">
        <f>K41+P41+U41+Z41+AE41+AJ41+AO41</f>
        <v>305.59199999999998</v>
      </c>
      <c r="F41" s="19">
        <f>F10</f>
        <v>130</v>
      </c>
      <c r="G41" s="13"/>
      <c r="H41" s="14">
        <f>B10*H$31*$K$5</f>
        <v>1559.712</v>
      </c>
      <c r="I41" s="14">
        <f>C10*I$31*$K$5</f>
        <v>223.0848</v>
      </c>
      <c r="J41" s="14">
        <f>D10*J$31*$K$5</f>
        <v>148.89599999999999</v>
      </c>
      <c r="K41" s="14">
        <f>E10*K$31*$K$5</f>
        <v>20.16</v>
      </c>
      <c r="L41" s="13"/>
      <c r="M41" s="14">
        <f>B10*M$31*$K$5</f>
        <v>1772.3999999999999</v>
      </c>
      <c r="N41" s="14">
        <f>C10*N$31*$K$5</f>
        <v>347.02080000000001</v>
      </c>
      <c r="O41" s="14">
        <f>D10*O$31*$K$5</f>
        <v>347.42399999999998</v>
      </c>
      <c r="P41" s="14">
        <f>E10*P$31*$K$5</f>
        <v>40.32</v>
      </c>
      <c r="Q41" s="13"/>
      <c r="R41" s="14">
        <f>B10*R$31*$K$5</f>
        <v>2977.6319999999996</v>
      </c>
      <c r="S41" s="14">
        <f>C10*S$31*$K$5</f>
        <v>557.71199999999999</v>
      </c>
      <c r="T41" s="14">
        <f>D10*T$31*$K$5</f>
        <v>377.20319999999998</v>
      </c>
      <c r="U41" s="14">
        <f>E10*U$31*$K$5</f>
        <v>50.4</v>
      </c>
      <c r="V41" s="13"/>
      <c r="W41" s="14">
        <f>B10*W$31*$K$5</f>
        <v>1417.9199999999998</v>
      </c>
      <c r="X41" s="14">
        <f>C10*X$31*$K$5</f>
        <v>272.6592</v>
      </c>
      <c r="Y41" s="14">
        <f>D10*Y$31*$K$5</f>
        <v>277.93920000000003</v>
      </c>
      <c r="Z41" s="14">
        <f>E10*Z$31*$K$5</f>
        <v>32.256</v>
      </c>
      <c r="AA41" s="13"/>
      <c r="AB41" s="14">
        <f>B10*AB$31*$K$5</f>
        <v>2694.0480000000002</v>
      </c>
      <c r="AC41" s="14">
        <f>C10*AC$31*$K$5</f>
        <v>495.74399999999997</v>
      </c>
      <c r="AD41" s="14">
        <f>D10*AD$31*$K$5</f>
        <v>317.64479999999998</v>
      </c>
      <c r="AE41" s="14">
        <f>E10*AE$31*$K$5</f>
        <v>45.36</v>
      </c>
      <c r="AF41" s="13"/>
      <c r="AG41" s="14">
        <f>B10*AG$31*$K$5</f>
        <v>1276.1279999999999</v>
      </c>
      <c r="AH41" s="14">
        <f>C10*AH$31*$K$5</f>
        <v>148.72319999999999</v>
      </c>
      <c r="AI41" s="14">
        <f>D10*AI$31*$K$5</f>
        <v>79.411199999999994</v>
      </c>
      <c r="AJ41" s="14">
        <f>E10*AJ$31*$K$5</f>
        <v>12.096</v>
      </c>
      <c r="AK41" s="13"/>
      <c r="AL41" s="14">
        <f>B10*AL$31</f>
        <v>7385</v>
      </c>
      <c r="AM41" s="14">
        <f>C10*AM$31</f>
        <v>1291</v>
      </c>
      <c r="AN41" s="14">
        <f>D10*AN$31</f>
        <v>1034</v>
      </c>
      <c r="AO41" s="14">
        <f>E10*AO$31</f>
        <v>105</v>
      </c>
      <c r="AP41" s="13"/>
      <c r="AQ41" s="13"/>
      <c r="AR41" s="13"/>
    </row>
    <row r="42" spans="1:44" x14ac:dyDescent="0.15">
      <c r="A42" s="13" t="s">
        <v>30</v>
      </c>
      <c r="B42" s="14">
        <f>H42+M42+R42+W42+AB42+AG42+AL42</f>
        <v>18423.919999999998</v>
      </c>
      <c r="C42" s="14">
        <f>I42+N42+S42+X42+AC42+AH42+AM42</f>
        <v>2829.48</v>
      </c>
      <c r="D42" s="14">
        <f>J42+O42+T42+Y42+AD42+AI42+AN42</f>
        <v>2013.0655999999999</v>
      </c>
      <c r="E42" s="14">
        <f>K42+P42+U42+Z42+AE42+AJ42+AO42</f>
        <v>270.66719999999998</v>
      </c>
      <c r="F42" s="19">
        <f>F11</f>
        <v>121</v>
      </c>
      <c r="G42" s="13"/>
      <c r="H42" s="14">
        <f>B11*H$31*$K$5</f>
        <v>1505.8559999999998</v>
      </c>
      <c r="I42" s="14">
        <f>C11*I$31*$K$5</f>
        <v>189.21599999999998</v>
      </c>
      <c r="J42" s="14">
        <f>D11*J$31*$K$5</f>
        <v>116.06399999999999</v>
      </c>
      <c r="K42" s="14">
        <f>E11*K$31*$K$5</f>
        <v>17.856000000000002</v>
      </c>
      <c r="L42" s="13"/>
      <c r="M42" s="14">
        <f>B11*M$31*$K$5</f>
        <v>1711.2</v>
      </c>
      <c r="N42" s="14">
        <f>C11*N$31*$K$5</f>
        <v>294.33600000000001</v>
      </c>
      <c r="O42" s="14">
        <f>D11*O$31*$K$5</f>
        <v>270.81599999999997</v>
      </c>
      <c r="P42" s="14">
        <f>E11*P$31*$K$5</f>
        <v>35.712000000000003</v>
      </c>
      <c r="Q42" s="13"/>
      <c r="R42" s="14">
        <f>B11*R$31*$K$5</f>
        <v>2874.8159999999998</v>
      </c>
      <c r="S42" s="14">
        <f>C11*S$31*$K$5</f>
        <v>473.03999999999996</v>
      </c>
      <c r="T42" s="14">
        <f>D11*T$31*$K$5</f>
        <v>294.02879999999999</v>
      </c>
      <c r="U42" s="14">
        <f>E11*U$31*$K$5</f>
        <v>44.64</v>
      </c>
      <c r="V42" s="13"/>
      <c r="W42" s="14">
        <f>B11*W$31*$K$5</f>
        <v>1368.96</v>
      </c>
      <c r="X42" s="14">
        <f>C11*X$31*$K$5</f>
        <v>231.26400000000001</v>
      </c>
      <c r="Y42" s="14">
        <f>D11*Y$31*$K$5</f>
        <v>216.65280000000001</v>
      </c>
      <c r="Z42" s="14">
        <f>E11*Z$31*$K$5</f>
        <v>28.569600000000001</v>
      </c>
      <c r="AA42" s="13"/>
      <c r="AB42" s="14">
        <f>B11*AB$31*$K$5</f>
        <v>2601.0239999999999</v>
      </c>
      <c r="AC42" s="14">
        <f>C11*AC$31*$K$5</f>
        <v>420.47999999999996</v>
      </c>
      <c r="AD42" s="14">
        <f>D11*AD$31*$K$5</f>
        <v>247.60320000000002</v>
      </c>
      <c r="AE42" s="14">
        <f>E11*AE$31*$K$5</f>
        <v>40.176000000000002</v>
      </c>
      <c r="AF42" s="13"/>
      <c r="AG42" s="14">
        <f>B11*AG$31*$K$5</f>
        <v>1232.0639999999999</v>
      </c>
      <c r="AH42" s="14">
        <f>C11*AH$31*$K$5</f>
        <v>126.14400000000001</v>
      </c>
      <c r="AI42" s="14">
        <f>D11*AI$31*$K$5</f>
        <v>61.900800000000004</v>
      </c>
      <c r="AJ42" s="14">
        <f>E11*AJ$31*$K$5</f>
        <v>10.7136</v>
      </c>
      <c r="AK42" s="13"/>
      <c r="AL42" s="14">
        <f>B11*AL$31</f>
        <v>7130</v>
      </c>
      <c r="AM42" s="14">
        <f>C11*AM$31</f>
        <v>1095</v>
      </c>
      <c r="AN42" s="14">
        <f>D11*AN$31</f>
        <v>806</v>
      </c>
      <c r="AO42" s="14">
        <f>E11*AO$31</f>
        <v>93</v>
      </c>
      <c r="AP42" s="13"/>
      <c r="AQ42" s="13"/>
      <c r="AR42" s="13"/>
    </row>
    <row r="43" spans="1:44" x14ac:dyDescent="0.15">
      <c r="A43" s="13"/>
      <c r="B43" s="13"/>
      <c r="C43" s="13"/>
      <c r="D43" s="13"/>
      <c r="E43" s="13"/>
      <c r="F43" s="13"/>
      <c r="G43" s="13"/>
      <c r="H43" s="23">
        <v>0.18</v>
      </c>
      <c r="I43" s="23">
        <v>0.15</v>
      </c>
      <c r="J43" s="23">
        <v>0.12</v>
      </c>
      <c r="K43" s="23">
        <v>0.16</v>
      </c>
      <c r="L43" s="13"/>
      <c r="M43" s="25">
        <v>0.22</v>
      </c>
      <c r="N43" s="25">
        <v>0.24</v>
      </c>
      <c r="O43" s="25">
        <v>0.32</v>
      </c>
      <c r="P43" s="25">
        <v>0.35</v>
      </c>
      <c r="Q43" s="13"/>
      <c r="R43" s="27">
        <v>0.38</v>
      </c>
      <c r="S43" s="27">
        <v>0.4</v>
      </c>
      <c r="T43" s="27">
        <v>0.34</v>
      </c>
      <c r="U43" s="27">
        <v>0.44</v>
      </c>
      <c r="V43" s="13"/>
      <c r="W43" s="25">
        <v>0.14000000000000001</v>
      </c>
      <c r="X43" s="25">
        <v>0.15</v>
      </c>
      <c r="Y43" s="25">
        <v>0.18</v>
      </c>
      <c r="Z43" s="25">
        <v>0.2</v>
      </c>
      <c r="AA43" s="13"/>
      <c r="AB43" s="27">
        <v>0.24</v>
      </c>
      <c r="AC43" s="27">
        <v>0.26</v>
      </c>
      <c r="AD43" s="27">
        <v>0.2</v>
      </c>
      <c r="AE43" s="27">
        <v>0.28000000000000003</v>
      </c>
      <c r="AF43" s="13"/>
      <c r="AG43" s="29">
        <v>0.14000000000000001</v>
      </c>
      <c r="AH43" s="29">
        <v>0.1</v>
      </c>
      <c r="AI43" s="29">
        <v>0.08</v>
      </c>
      <c r="AJ43" s="29">
        <v>0.1</v>
      </c>
      <c r="AK43" s="13"/>
      <c r="AL43" s="31">
        <v>1</v>
      </c>
      <c r="AM43" s="31">
        <v>1</v>
      </c>
      <c r="AN43" s="31">
        <v>1</v>
      </c>
      <c r="AO43" s="31">
        <v>1</v>
      </c>
      <c r="AP43" s="13"/>
      <c r="AQ43" s="33" t="s">
        <v>101</v>
      </c>
      <c r="AR43" s="33"/>
    </row>
    <row r="44" spans="1:44" ht="14" x14ac:dyDescent="0.15">
      <c r="A44" s="36" t="s">
        <v>100</v>
      </c>
      <c r="B44" s="36"/>
      <c r="C44" s="36"/>
      <c r="D44" s="36"/>
      <c r="E44" s="36"/>
      <c r="F44" s="36"/>
      <c r="G44" s="13"/>
      <c r="H44" s="24" t="s">
        <v>82</v>
      </c>
      <c r="I44" s="24"/>
      <c r="J44" s="24"/>
      <c r="K44" s="24"/>
      <c r="L44" s="13"/>
      <c r="M44" s="26" t="s">
        <v>83</v>
      </c>
      <c r="N44" s="26"/>
      <c r="O44" s="26"/>
      <c r="P44" s="26"/>
      <c r="Q44" s="13"/>
      <c r="R44" s="28" t="s">
        <v>84</v>
      </c>
      <c r="S44" s="28"/>
      <c r="T44" s="28"/>
      <c r="U44" s="28"/>
      <c r="V44" s="13"/>
      <c r="W44" s="26" t="s">
        <v>85</v>
      </c>
      <c r="X44" s="26"/>
      <c r="Y44" s="26"/>
      <c r="Z44" s="26"/>
      <c r="AA44" s="13"/>
      <c r="AB44" s="28" t="s">
        <v>86</v>
      </c>
      <c r="AC44" s="28"/>
      <c r="AD44" s="28"/>
      <c r="AE44" s="28"/>
      <c r="AF44" s="13"/>
      <c r="AG44" s="30" t="s">
        <v>87</v>
      </c>
      <c r="AH44" s="30"/>
      <c r="AI44" s="30"/>
      <c r="AJ44" s="30"/>
      <c r="AK44" s="13"/>
      <c r="AL44" s="32" t="s">
        <v>99</v>
      </c>
      <c r="AM44" s="32"/>
      <c r="AN44" s="32"/>
      <c r="AO44" s="32"/>
      <c r="AP44" s="13"/>
      <c r="AQ44" s="13" t="s">
        <v>36</v>
      </c>
      <c r="AR44" s="34">
        <v>25</v>
      </c>
    </row>
    <row r="45" spans="1:44" x14ac:dyDescent="0.15">
      <c r="A45" s="17" t="s">
        <v>2</v>
      </c>
      <c r="B45" s="17" t="s">
        <v>3</v>
      </c>
      <c r="C45" s="17" t="s">
        <v>4</v>
      </c>
      <c r="D45" s="17" t="s">
        <v>5</v>
      </c>
      <c r="E45" s="17" t="s">
        <v>6</v>
      </c>
      <c r="F45" s="17" t="s">
        <v>7</v>
      </c>
      <c r="G45" s="13"/>
      <c r="H45" s="17" t="s">
        <v>3</v>
      </c>
      <c r="I45" s="17" t="s">
        <v>4</v>
      </c>
      <c r="J45" s="17" t="s">
        <v>5</v>
      </c>
      <c r="K45" s="17" t="s">
        <v>6</v>
      </c>
      <c r="L45" s="13"/>
      <c r="M45" s="17" t="s">
        <v>3</v>
      </c>
      <c r="N45" s="17" t="s">
        <v>4</v>
      </c>
      <c r="O45" s="17" t="s">
        <v>5</v>
      </c>
      <c r="P45" s="17" t="s">
        <v>6</v>
      </c>
      <c r="Q45" s="13"/>
      <c r="R45" s="17" t="s">
        <v>3</v>
      </c>
      <c r="S45" s="17" t="s">
        <v>4</v>
      </c>
      <c r="T45" s="17" t="s">
        <v>5</v>
      </c>
      <c r="U45" s="17" t="s">
        <v>6</v>
      </c>
      <c r="V45" s="13"/>
      <c r="W45" s="17" t="s">
        <v>3</v>
      </c>
      <c r="X45" s="17" t="s">
        <v>4</v>
      </c>
      <c r="Y45" s="17" t="s">
        <v>5</v>
      </c>
      <c r="Z45" s="17" t="s">
        <v>6</v>
      </c>
      <c r="AA45" s="13"/>
      <c r="AB45" s="17" t="s">
        <v>3</v>
      </c>
      <c r="AC45" s="17" t="s">
        <v>4</v>
      </c>
      <c r="AD45" s="17" t="s">
        <v>5</v>
      </c>
      <c r="AE45" s="17" t="s">
        <v>6</v>
      </c>
      <c r="AF45" s="13"/>
      <c r="AG45" s="17" t="s">
        <v>3</v>
      </c>
      <c r="AH45" s="17" t="s">
        <v>4</v>
      </c>
      <c r="AI45" s="17" t="s">
        <v>5</v>
      </c>
      <c r="AJ45" s="17" t="s">
        <v>6</v>
      </c>
      <c r="AK45" s="13"/>
      <c r="AL45" s="17" t="s">
        <v>3</v>
      </c>
      <c r="AM45" s="17" t="s">
        <v>4</v>
      </c>
      <c r="AN45" s="17" t="s">
        <v>5</v>
      </c>
      <c r="AO45" s="17" t="s">
        <v>6</v>
      </c>
      <c r="AP45" s="13"/>
      <c r="AQ45" s="13" t="s">
        <v>91</v>
      </c>
      <c r="AR45" s="34">
        <v>25</v>
      </c>
    </row>
    <row r="46" spans="1:44" x14ac:dyDescent="0.15">
      <c r="A46" s="13" t="s">
        <v>14</v>
      </c>
      <c r="B46" s="14">
        <f>H46+M46+R46+W46+AB46+AG46+AL46</f>
        <v>12939.800000000001</v>
      </c>
      <c r="C46" s="14">
        <f>I46+N46+S46+X46+AC46+AH46+AM46</f>
        <v>899.3</v>
      </c>
      <c r="D46" s="14">
        <f>J46+O46+T46+Y46+AD46+AI46+AN46</f>
        <v>224</v>
      </c>
      <c r="E46" s="14">
        <f>K46+P46+U46+Z46+AE46+AJ46+AO46</f>
        <v>78.430000000000007</v>
      </c>
      <c r="F46" s="19">
        <f>F3</f>
        <v>85</v>
      </c>
      <c r="G46" s="13"/>
      <c r="H46" s="14">
        <f>B3*H$43*$K$6</f>
        <v>1012.68</v>
      </c>
      <c r="I46" s="14">
        <f>C3*I$43*$K$6</f>
        <v>58.65</v>
      </c>
      <c r="J46" s="14">
        <f>D3*J$43*$K$6</f>
        <v>12</v>
      </c>
      <c r="K46" s="14">
        <f>E3*K$43*$K$6</f>
        <v>4.96</v>
      </c>
      <c r="L46" s="13"/>
      <c r="M46" s="14">
        <f>B3*M$43*$K$6</f>
        <v>1237.72</v>
      </c>
      <c r="N46" s="14">
        <f>C3*N$43*$K$6</f>
        <v>93.84</v>
      </c>
      <c r="O46" s="14">
        <f>D3*O$43*$K$6</f>
        <v>32</v>
      </c>
      <c r="P46" s="14">
        <f>E3*P$43*$K$6</f>
        <v>10.85</v>
      </c>
      <c r="Q46" s="13"/>
      <c r="R46" s="14">
        <f>B3*R$43*$K$6</f>
        <v>2137.88</v>
      </c>
      <c r="S46" s="14">
        <f>C3*S$43*$K$6</f>
        <v>156.4</v>
      </c>
      <c r="T46" s="14">
        <f>D3*T$43*$K$6</f>
        <v>34</v>
      </c>
      <c r="U46" s="14">
        <f>E3*U$43*$K$6</f>
        <v>13.64</v>
      </c>
      <c r="V46" s="13"/>
      <c r="W46" s="14">
        <f>B3*W$43*$K$6</f>
        <v>787.6400000000001</v>
      </c>
      <c r="X46" s="14">
        <f>C3*X$43*$K$6</f>
        <v>58.65</v>
      </c>
      <c r="Y46" s="14">
        <f>D3*Y$43*$K$6</f>
        <v>18</v>
      </c>
      <c r="Z46" s="14">
        <f>E3*Z$43*$K$6</f>
        <v>6.2</v>
      </c>
      <c r="AA46" s="13"/>
      <c r="AB46" s="14">
        <f>B3*AB$43*$K$6</f>
        <v>1350.24</v>
      </c>
      <c r="AC46" s="14">
        <f>C3*AC$43*$K$6</f>
        <v>101.66</v>
      </c>
      <c r="AD46" s="14">
        <f>D3*AD$43*$K$6</f>
        <v>20</v>
      </c>
      <c r="AE46" s="14">
        <f>E3*AE$43*$K$6</f>
        <v>8.6800000000000015</v>
      </c>
      <c r="AF46" s="13"/>
      <c r="AG46" s="14">
        <f>B3*AG$43*$K$6</f>
        <v>787.6400000000001</v>
      </c>
      <c r="AH46" s="14">
        <f>C3*AH$43*$K$6</f>
        <v>39.1</v>
      </c>
      <c r="AI46" s="14">
        <f>D3*AI$43*$K$6</f>
        <v>8</v>
      </c>
      <c r="AJ46" s="14">
        <f>E3*AJ$43*$K$6</f>
        <v>3.1</v>
      </c>
      <c r="AK46" s="13"/>
      <c r="AL46" s="14">
        <f>B3*AL$43</f>
        <v>5626</v>
      </c>
      <c r="AM46" s="14">
        <f>C3*AM$43</f>
        <v>391</v>
      </c>
      <c r="AN46" s="14">
        <f>D3*AN$43</f>
        <v>100</v>
      </c>
      <c r="AO46" s="14">
        <f>E3*AO$43</f>
        <v>31</v>
      </c>
      <c r="AP46" s="13"/>
      <c r="AQ46" s="13" t="s">
        <v>92</v>
      </c>
      <c r="AR46" s="34">
        <v>55</v>
      </c>
    </row>
    <row r="47" spans="1:44" x14ac:dyDescent="0.15">
      <c r="A47" s="13" t="s">
        <v>15</v>
      </c>
      <c r="B47" s="14">
        <f>H47+M47+R47+W47+AB47+AG47+AL47</f>
        <v>12620.100000000002</v>
      </c>
      <c r="C47" s="14">
        <f>I47+N47+S47+X47+AC47+AH47+AM47</f>
        <v>837.2</v>
      </c>
      <c r="D47" s="14">
        <f>J47+O47+T47+Y47+AD47+AI47+AN47</f>
        <v>313.60000000000002</v>
      </c>
      <c r="E47" s="14">
        <f>K47+P47+U47+Z47+AE47+AJ47+AO47</f>
        <v>75.900000000000006</v>
      </c>
      <c r="F47" s="19">
        <f>F4</f>
        <v>81</v>
      </c>
      <c r="G47" s="13"/>
      <c r="H47" s="14">
        <f>B4*H$43*$K$6</f>
        <v>987.66</v>
      </c>
      <c r="I47" s="14">
        <f>C4*I$43*$K$6</f>
        <v>54.6</v>
      </c>
      <c r="J47" s="14">
        <f>D4*J$43*$K$6</f>
        <v>16.8</v>
      </c>
      <c r="K47" s="14">
        <f>E4*K$43*$K$6</f>
        <v>4.8</v>
      </c>
      <c r="L47" s="13"/>
      <c r="M47" s="14">
        <f>B4*M$43*$K$6</f>
        <v>1207.1400000000001</v>
      </c>
      <c r="N47" s="14">
        <f>C4*N$43*$K$6</f>
        <v>87.36</v>
      </c>
      <c r="O47" s="14">
        <f>D4*O$43*$K$6</f>
        <v>44.800000000000004</v>
      </c>
      <c r="P47" s="14">
        <f>E4*P$43*$K$6</f>
        <v>10.5</v>
      </c>
      <c r="Q47" s="13"/>
      <c r="R47" s="14">
        <f>B4*R$43*$K$6</f>
        <v>2085.06</v>
      </c>
      <c r="S47" s="14">
        <f>C4*S$43*$K$6</f>
        <v>145.6</v>
      </c>
      <c r="T47" s="14">
        <f>D4*T$43*$K$6</f>
        <v>47.6</v>
      </c>
      <c r="U47" s="14">
        <f>E4*U$43*$K$6</f>
        <v>13.2</v>
      </c>
      <c r="V47" s="13"/>
      <c r="W47" s="14">
        <f>B4*W$43*$K$6</f>
        <v>768.18000000000006</v>
      </c>
      <c r="X47" s="14">
        <f>C4*X$43*$K$6</f>
        <v>54.6</v>
      </c>
      <c r="Y47" s="14">
        <f>D4*Y$43*$K$6</f>
        <v>25.2</v>
      </c>
      <c r="Z47" s="14">
        <f>E4*Z$43*$K$6</f>
        <v>6</v>
      </c>
      <c r="AA47" s="13"/>
      <c r="AB47" s="14">
        <f>B4*AB$43*$K$6</f>
        <v>1316.8799999999999</v>
      </c>
      <c r="AC47" s="14">
        <f>C4*AC$43*$K$6</f>
        <v>94.64</v>
      </c>
      <c r="AD47" s="14">
        <f>D4*AD$43*$K$6</f>
        <v>28</v>
      </c>
      <c r="AE47" s="14">
        <f>E4*AE$43*$K$6</f>
        <v>8.4</v>
      </c>
      <c r="AF47" s="13"/>
      <c r="AG47" s="14">
        <f>B4*AG$43*$K$6</f>
        <v>768.18000000000006</v>
      </c>
      <c r="AH47" s="14">
        <f>C4*AH$43*$K$6</f>
        <v>36.4</v>
      </c>
      <c r="AI47" s="14">
        <f>D4*AI$43*$K$6</f>
        <v>11.200000000000001</v>
      </c>
      <c r="AJ47" s="14">
        <f>E4*AJ$43*$K$6</f>
        <v>3</v>
      </c>
      <c r="AK47" s="13"/>
      <c r="AL47" s="14">
        <f>B4*AL$43</f>
        <v>5487</v>
      </c>
      <c r="AM47" s="14">
        <f>C4*AM$43</f>
        <v>364</v>
      </c>
      <c r="AN47" s="14">
        <f>D4*AN$43</f>
        <v>140</v>
      </c>
      <c r="AO47" s="14">
        <f>E4*AO$43</f>
        <v>30</v>
      </c>
      <c r="AP47" s="13"/>
      <c r="AQ47" s="13" t="s">
        <v>93</v>
      </c>
      <c r="AR47" s="34">
        <v>20</v>
      </c>
    </row>
    <row r="48" spans="1:44" x14ac:dyDescent="0.15">
      <c r="A48" s="13" t="s">
        <v>18</v>
      </c>
      <c r="B48" s="14">
        <f>H48+M48+R48+W48+AB48+AG48+AL48</f>
        <v>14510.7</v>
      </c>
      <c r="C48" s="14">
        <f>I48+N48+S48+X48+AC48+AH48+AM48</f>
        <v>1294.9000000000001</v>
      </c>
      <c r="D48" s="14">
        <f>J48+O48+T48+Y48+AD48+AI48+AN48</f>
        <v>636.16</v>
      </c>
      <c r="E48" s="14">
        <f>K48+P48+U48+Z48+AE48+AJ48+AO48</f>
        <v>134.08999999999997</v>
      </c>
      <c r="F48" s="19">
        <f>F5</f>
        <v>103</v>
      </c>
      <c r="G48" s="13"/>
      <c r="H48" s="14">
        <f>B5*H$43*$K$6</f>
        <v>1135.6199999999999</v>
      </c>
      <c r="I48" s="14">
        <f>C5*I$43*$K$6</f>
        <v>84.45</v>
      </c>
      <c r="J48" s="14">
        <f>D5*J$43*$K$6</f>
        <v>34.08</v>
      </c>
      <c r="K48" s="14">
        <f>E5*K$43*$K$6</f>
        <v>8.48</v>
      </c>
      <c r="L48" s="13"/>
      <c r="M48" s="14">
        <f>B5*M$43*$K$6</f>
        <v>1387.98</v>
      </c>
      <c r="N48" s="14">
        <f>C5*N$43*$K$6</f>
        <v>135.12</v>
      </c>
      <c r="O48" s="14">
        <f>D5*O$43*$K$6</f>
        <v>90.88</v>
      </c>
      <c r="P48" s="14">
        <f>E5*P$43*$K$6</f>
        <v>18.549999999999997</v>
      </c>
      <c r="Q48" s="13"/>
      <c r="R48" s="14">
        <f>B5*R$43*$K$6</f>
        <v>2397.42</v>
      </c>
      <c r="S48" s="14">
        <f>C5*S$43*$K$6</f>
        <v>225.20000000000002</v>
      </c>
      <c r="T48" s="14">
        <f>D5*T$43*$K$6</f>
        <v>96.56</v>
      </c>
      <c r="U48" s="14">
        <f>E5*U$43*$K$6</f>
        <v>23.32</v>
      </c>
      <c r="V48" s="13"/>
      <c r="W48" s="14">
        <f>B5*W$43*$K$6</f>
        <v>883.2600000000001</v>
      </c>
      <c r="X48" s="14">
        <f>C5*X$43*$K$6</f>
        <v>84.45</v>
      </c>
      <c r="Y48" s="14">
        <f>D5*Y$43*$K$6</f>
        <v>51.12</v>
      </c>
      <c r="Z48" s="14">
        <f>E5*Z$43*$K$6</f>
        <v>10.600000000000001</v>
      </c>
      <c r="AA48" s="13"/>
      <c r="AB48" s="14">
        <f>B5*AB$43*$K$6</f>
        <v>1514.1599999999999</v>
      </c>
      <c r="AC48" s="14">
        <f>C5*AC$43*$K$6</f>
        <v>146.38</v>
      </c>
      <c r="AD48" s="14">
        <f>D5*AD$43*$K$6</f>
        <v>56.800000000000004</v>
      </c>
      <c r="AE48" s="14">
        <f>E5*AE$43*$K$6</f>
        <v>14.840000000000002</v>
      </c>
      <c r="AF48" s="13"/>
      <c r="AG48" s="14">
        <f>B5*AG$43*$K$6</f>
        <v>883.2600000000001</v>
      </c>
      <c r="AH48" s="14">
        <f>C5*AH$43*$K$6</f>
        <v>56.300000000000004</v>
      </c>
      <c r="AI48" s="14">
        <f>D5*AI$43*$K$6</f>
        <v>22.72</v>
      </c>
      <c r="AJ48" s="14">
        <f>E5*AJ$43*$K$6</f>
        <v>5.3000000000000007</v>
      </c>
      <c r="AK48" s="13"/>
      <c r="AL48" s="14">
        <f>B5*AL$43</f>
        <v>6309</v>
      </c>
      <c r="AM48" s="14">
        <f>C5*AM$43</f>
        <v>563</v>
      </c>
      <c r="AN48" s="14">
        <f>D5*AN$43</f>
        <v>284</v>
      </c>
      <c r="AO48" s="14">
        <f>E5*AO$43</f>
        <v>53</v>
      </c>
      <c r="AP48" s="13"/>
      <c r="AQ48" s="13" t="s">
        <v>94</v>
      </c>
      <c r="AR48" s="34">
        <v>40</v>
      </c>
    </row>
    <row r="49" spans="1:44" x14ac:dyDescent="0.15">
      <c r="A49" s="13" t="s">
        <v>20</v>
      </c>
      <c r="B49" s="14">
        <f>H49+M49+R49+W49+AB49+AG49+AL49</f>
        <v>14717.7</v>
      </c>
      <c r="C49" s="14">
        <f>I49+N49+S49+X49+AC49+AH49+AM49</f>
        <v>1605.4</v>
      </c>
      <c r="D49" s="14">
        <f>J49+O49+T49+Y49+AD49+AI49+AN49</f>
        <v>797.44</v>
      </c>
      <c r="E49" s="14">
        <f>K49+P49+U49+Z49+AE49+AJ49+AO49</f>
        <v>179.63</v>
      </c>
      <c r="F49" s="19">
        <f>F6</f>
        <v>106</v>
      </c>
      <c r="G49" s="13"/>
      <c r="H49" s="14">
        <f>B6*H$43*$K$6</f>
        <v>1151.82</v>
      </c>
      <c r="I49" s="14">
        <f>C6*I$43*$K$6</f>
        <v>104.7</v>
      </c>
      <c r="J49" s="14">
        <f>D6*J$43*$K$6</f>
        <v>42.72</v>
      </c>
      <c r="K49" s="14">
        <f>E6*K$43*$K$6</f>
        <v>11.36</v>
      </c>
      <c r="L49" s="13"/>
      <c r="M49" s="14">
        <f>B6*M$43*$K$6</f>
        <v>1407.78</v>
      </c>
      <c r="N49" s="14">
        <f>C6*N$43*$K$6</f>
        <v>167.51999999999998</v>
      </c>
      <c r="O49" s="14">
        <f>D6*O$43*$K$6</f>
        <v>113.92</v>
      </c>
      <c r="P49" s="14">
        <f>E6*P$43*$K$6</f>
        <v>24.849999999999998</v>
      </c>
      <c r="Q49" s="13"/>
      <c r="R49" s="14">
        <f>B6*R$43*$K$6</f>
        <v>2431.62</v>
      </c>
      <c r="S49" s="14">
        <f>C6*S$43*$K$6</f>
        <v>279.2</v>
      </c>
      <c r="T49" s="14">
        <f>D6*T$43*$K$6</f>
        <v>121.04</v>
      </c>
      <c r="U49" s="14">
        <f>E6*U$43*$K$6</f>
        <v>31.24</v>
      </c>
      <c r="V49" s="13"/>
      <c r="W49" s="14">
        <f>B6*W$43*$K$6</f>
        <v>895.86000000000013</v>
      </c>
      <c r="X49" s="14">
        <f>C6*X$43*$K$6</f>
        <v>104.7</v>
      </c>
      <c r="Y49" s="14">
        <f>D6*Y$43*$K$6</f>
        <v>64.08</v>
      </c>
      <c r="Z49" s="14">
        <f>E6*Z$43*$K$6</f>
        <v>14.200000000000001</v>
      </c>
      <c r="AA49" s="13"/>
      <c r="AB49" s="14">
        <f>B6*AB$43*$K$6</f>
        <v>1535.76</v>
      </c>
      <c r="AC49" s="14">
        <f>C6*AC$43*$K$6</f>
        <v>181.48000000000002</v>
      </c>
      <c r="AD49" s="14">
        <f>D6*AD$43*$K$6</f>
        <v>71.2</v>
      </c>
      <c r="AE49" s="14">
        <f>E6*AE$43*$K$6</f>
        <v>19.880000000000003</v>
      </c>
      <c r="AF49" s="13"/>
      <c r="AG49" s="14">
        <f>B6*AG$43*$K$6</f>
        <v>895.86000000000013</v>
      </c>
      <c r="AH49" s="14">
        <f>C6*AH$43*$K$6</f>
        <v>69.8</v>
      </c>
      <c r="AI49" s="14">
        <f>D6*AI$43*$K$6</f>
        <v>28.48</v>
      </c>
      <c r="AJ49" s="14">
        <f>E6*AJ$43*$K$6</f>
        <v>7.1000000000000005</v>
      </c>
      <c r="AK49" s="13"/>
      <c r="AL49" s="14">
        <f>B6*AL$43</f>
        <v>6399</v>
      </c>
      <c r="AM49" s="14">
        <f>C6*AM$43</f>
        <v>698</v>
      </c>
      <c r="AN49" s="14">
        <f>D6*AN$43</f>
        <v>356</v>
      </c>
      <c r="AO49" s="14">
        <f>E6*AO$43</f>
        <v>71</v>
      </c>
      <c r="AP49" s="13"/>
      <c r="AQ49" s="13" t="s">
        <v>39</v>
      </c>
      <c r="AR49" s="34">
        <v>20</v>
      </c>
    </row>
    <row r="50" spans="1:44" x14ac:dyDescent="0.15">
      <c r="A50" s="13" t="s">
        <v>22</v>
      </c>
      <c r="B50" s="14">
        <f>H50+M50+R50+W50+AB50+AG50+AL50</f>
        <v>14913.2</v>
      </c>
      <c r="C50" s="14">
        <f>I50+N50+S50+X50+AC50+AH50+AM50</f>
        <v>2743.9</v>
      </c>
      <c r="D50" s="14">
        <f>J50+O50+T50+Y50+AD50+AI50+AN50</f>
        <v>1834.56</v>
      </c>
      <c r="E50" s="14">
        <f>K50+P50+U50+Z50+AE50+AJ50+AO50</f>
        <v>258.06</v>
      </c>
      <c r="F50" s="19">
        <f>F7</f>
        <v>106</v>
      </c>
      <c r="G50" s="13"/>
      <c r="H50" s="14">
        <f>B7*H$43*$K$6</f>
        <v>1167.1199999999999</v>
      </c>
      <c r="I50" s="14">
        <f>C7*I$43*$K$6</f>
        <v>178.95</v>
      </c>
      <c r="J50" s="14">
        <f>D7*J$43*$K$6</f>
        <v>98.28</v>
      </c>
      <c r="K50" s="14">
        <f>E7*K$43*$K$6</f>
        <v>16.32</v>
      </c>
      <c r="L50" s="13"/>
      <c r="M50" s="14">
        <f>B7*M$43*$K$6</f>
        <v>1426.48</v>
      </c>
      <c r="N50" s="14">
        <f>C7*N$43*$K$6</f>
        <v>286.32</v>
      </c>
      <c r="O50" s="14">
        <f>D7*O$43*$K$6</f>
        <v>262.08</v>
      </c>
      <c r="P50" s="14">
        <f>E7*P$43*$K$6</f>
        <v>35.699999999999996</v>
      </c>
      <c r="Q50" s="13"/>
      <c r="R50" s="14">
        <f>B7*R$43*$K$6</f>
        <v>2463.92</v>
      </c>
      <c r="S50" s="14">
        <f>C7*S$43*$K$6</f>
        <v>477.20000000000005</v>
      </c>
      <c r="T50" s="14">
        <f>D7*T$43*$K$6</f>
        <v>278.46000000000004</v>
      </c>
      <c r="U50" s="14">
        <f>E7*U$43*$K$6</f>
        <v>44.88</v>
      </c>
      <c r="V50" s="13"/>
      <c r="W50" s="14">
        <f>B7*W$43*$K$6</f>
        <v>907.7600000000001</v>
      </c>
      <c r="X50" s="14">
        <f>C7*X$43*$K$6</f>
        <v>178.95</v>
      </c>
      <c r="Y50" s="14">
        <f>D7*Y$43*$K$6</f>
        <v>147.41999999999999</v>
      </c>
      <c r="Z50" s="14">
        <f>E7*Z$43*$K$6</f>
        <v>20.400000000000002</v>
      </c>
      <c r="AA50" s="13"/>
      <c r="AB50" s="14">
        <f>B7*AB$43*$K$6</f>
        <v>1556.1599999999999</v>
      </c>
      <c r="AC50" s="14">
        <f>C7*AC$43*$K$6</f>
        <v>310.18</v>
      </c>
      <c r="AD50" s="14">
        <f>D7*AD$43*$K$6</f>
        <v>163.80000000000001</v>
      </c>
      <c r="AE50" s="14">
        <f>E7*AE$43*$K$6</f>
        <v>28.560000000000002</v>
      </c>
      <c r="AF50" s="13"/>
      <c r="AG50" s="14">
        <f>B7*AG$43*$K$6</f>
        <v>907.7600000000001</v>
      </c>
      <c r="AH50" s="14">
        <f>C7*AH$43*$K$6</f>
        <v>119.30000000000001</v>
      </c>
      <c r="AI50" s="14">
        <f>D7*AI$43*$K$6</f>
        <v>65.52</v>
      </c>
      <c r="AJ50" s="14">
        <f>E7*AJ$43*$K$6</f>
        <v>10.200000000000001</v>
      </c>
      <c r="AK50" s="13"/>
      <c r="AL50" s="14">
        <f>B7*AL$43</f>
        <v>6484</v>
      </c>
      <c r="AM50" s="14">
        <f>C7*AM$43</f>
        <v>1193</v>
      </c>
      <c r="AN50" s="14">
        <f>D7*AN$43</f>
        <v>819</v>
      </c>
      <c r="AO50" s="14">
        <f>E7*AO$43</f>
        <v>102</v>
      </c>
      <c r="AP50" s="13"/>
      <c r="AQ50" s="13" t="s">
        <v>45</v>
      </c>
      <c r="AR50" s="34">
        <v>80</v>
      </c>
    </row>
    <row r="51" spans="1:44" x14ac:dyDescent="0.15">
      <c r="A51" s="13" t="s">
        <v>24</v>
      </c>
      <c r="B51" s="14">
        <f>H51+M51+R51+W51+AB51+AG51+AL51</f>
        <v>13928.800000000001</v>
      </c>
      <c r="C51" s="14">
        <f>I51+N51+S51+X51+AC51+AH51+AM51</f>
        <v>1520.3000000000002</v>
      </c>
      <c r="D51" s="14">
        <f>J51+O51+T51+Y51+AD51+AI51+AN51</f>
        <v>602.55999999999995</v>
      </c>
      <c r="E51" s="14">
        <f>K51+P51+U51+Z51+AE51+AJ51+AO51</f>
        <v>220.11</v>
      </c>
      <c r="F51" s="19">
        <f>F8</f>
        <v>95</v>
      </c>
      <c r="G51" s="13"/>
      <c r="H51" s="14">
        <f>B8*H$43*$K$6</f>
        <v>1090.08</v>
      </c>
      <c r="I51" s="14">
        <f>C8*I$43*$K$6</f>
        <v>99.149999999999991</v>
      </c>
      <c r="J51" s="14">
        <f>D8*J$43*$K$6</f>
        <v>32.28</v>
      </c>
      <c r="K51" s="14">
        <f>E8*K$43*$K$6</f>
        <v>13.92</v>
      </c>
      <c r="L51" s="13"/>
      <c r="M51" s="14">
        <f>B8*M$43*$K$6</f>
        <v>1332.32</v>
      </c>
      <c r="N51" s="14">
        <f>C8*N$43*$K$6</f>
        <v>158.63999999999999</v>
      </c>
      <c r="O51" s="14">
        <f>D8*O$43*$K$6</f>
        <v>86.08</v>
      </c>
      <c r="P51" s="14">
        <f>E8*P$43*$K$6</f>
        <v>30.45</v>
      </c>
      <c r="Q51" s="13"/>
      <c r="R51" s="14">
        <f>B8*R$43*$K$6</f>
        <v>2301.2800000000002</v>
      </c>
      <c r="S51" s="14">
        <f>C8*S$43*$K$6</f>
        <v>264.40000000000003</v>
      </c>
      <c r="T51" s="14">
        <f>D8*T$43*$K$6</f>
        <v>91.460000000000008</v>
      </c>
      <c r="U51" s="14">
        <f>E8*U$43*$K$6</f>
        <v>38.28</v>
      </c>
      <c r="V51" s="13"/>
      <c r="W51" s="14">
        <f>B8*W$43*$K$6</f>
        <v>847.84</v>
      </c>
      <c r="X51" s="14">
        <f>C8*X$43*$K$6</f>
        <v>99.149999999999991</v>
      </c>
      <c r="Y51" s="14">
        <f>D8*Y$43*$K$6</f>
        <v>48.42</v>
      </c>
      <c r="Z51" s="14">
        <f>E8*Z$43*$K$6</f>
        <v>17.400000000000002</v>
      </c>
      <c r="AA51" s="13"/>
      <c r="AB51" s="14">
        <f>B8*AB$43*$K$6</f>
        <v>1453.44</v>
      </c>
      <c r="AC51" s="14">
        <f>C8*AC$43*$K$6</f>
        <v>171.86</v>
      </c>
      <c r="AD51" s="14">
        <f>D8*AD$43*$K$6</f>
        <v>53.800000000000004</v>
      </c>
      <c r="AE51" s="14">
        <f>E8*AE$43*$K$6</f>
        <v>24.360000000000003</v>
      </c>
      <c r="AF51" s="13"/>
      <c r="AG51" s="14">
        <f>B8*AG$43*$K$6</f>
        <v>847.84</v>
      </c>
      <c r="AH51" s="14">
        <f>C8*AH$43*$K$6</f>
        <v>66.100000000000009</v>
      </c>
      <c r="AI51" s="14">
        <f>D8*AI$43*$K$6</f>
        <v>21.52</v>
      </c>
      <c r="AJ51" s="14">
        <f>E8*AJ$43*$K$6</f>
        <v>8.7000000000000011</v>
      </c>
      <c r="AK51" s="13"/>
      <c r="AL51" s="14">
        <f>B8*AL$43</f>
        <v>6056</v>
      </c>
      <c r="AM51" s="14">
        <f>C8*AM$43</f>
        <v>661</v>
      </c>
      <c r="AN51" s="14">
        <f>D8*AN$43</f>
        <v>269</v>
      </c>
      <c r="AO51" s="14">
        <f>E8*AO$43</f>
        <v>87</v>
      </c>
      <c r="AP51" s="13"/>
      <c r="AQ51" s="15" t="s">
        <v>95</v>
      </c>
      <c r="AR51" s="35">
        <f>SUM(AR44:AR50)</f>
        <v>265</v>
      </c>
    </row>
    <row r="52" spans="1:44" x14ac:dyDescent="0.15">
      <c r="A52" s="13" t="s">
        <v>26</v>
      </c>
      <c r="B52" s="14">
        <f>H52+M52+R52+W52+AB52+AG52+AL52</f>
        <v>15541.1</v>
      </c>
      <c r="C52" s="14">
        <f>I52+N52+S52+X52+AC52+AH52+AM52</f>
        <v>2472.5</v>
      </c>
      <c r="D52" s="14">
        <f>J52+O52+T52+Y52+AD52+AI52+AN52</f>
        <v>1641.92</v>
      </c>
      <c r="E52" s="14">
        <f>K52+P52+U52+Z52+AE52+AJ52+AO52</f>
        <v>285.89</v>
      </c>
      <c r="F52" s="19">
        <f>F9</f>
        <v>112</v>
      </c>
      <c r="G52" s="13"/>
      <c r="H52" s="14">
        <f>B9*H$43*$K$6</f>
        <v>1216.26</v>
      </c>
      <c r="I52" s="14">
        <f>C9*I$43*$K$6</f>
        <v>161.25</v>
      </c>
      <c r="J52" s="14">
        <f>D9*J$43*$K$6</f>
        <v>87.96</v>
      </c>
      <c r="K52" s="14">
        <f>E9*K$43*$K$6</f>
        <v>18.080000000000002</v>
      </c>
      <c r="L52" s="13"/>
      <c r="M52" s="14">
        <f>B9*M$43*$K$6</f>
        <v>1486.54</v>
      </c>
      <c r="N52" s="14">
        <f>C9*N$43*$K$6</f>
        <v>258</v>
      </c>
      <c r="O52" s="14">
        <f>D9*O$43*$K$6</f>
        <v>234.56</v>
      </c>
      <c r="P52" s="14">
        <f>E9*P$43*$K$6</f>
        <v>39.549999999999997</v>
      </c>
      <c r="Q52" s="13"/>
      <c r="R52" s="14">
        <f>B9*R$43*$K$6</f>
        <v>2567.66</v>
      </c>
      <c r="S52" s="14">
        <f>C9*S$43*$K$6</f>
        <v>430</v>
      </c>
      <c r="T52" s="14">
        <f>D9*T$43*$K$6</f>
        <v>249.22000000000003</v>
      </c>
      <c r="U52" s="14">
        <f>E9*U$43*$K$6</f>
        <v>49.72</v>
      </c>
      <c r="V52" s="13"/>
      <c r="W52" s="14">
        <f>B9*W$43*$K$6</f>
        <v>945.98000000000013</v>
      </c>
      <c r="X52" s="14">
        <f>C9*X$43*$K$6</f>
        <v>161.25</v>
      </c>
      <c r="Y52" s="14">
        <f>D9*Y$43*$K$6</f>
        <v>131.94</v>
      </c>
      <c r="Z52" s="14">
        <f>E9*Z$43*$K$6</f>
        <v>22.6</v>
      </c>
      <c r="AA52" s="13"/>
      <c r="AB52" s="14">
        <f>B9*AB$43*$K$6</f>
        <v>1621.6799999999998</v>
      </c>
      <c r="AC52" s="14">
        <f>C9*AC$43*$K$6</f>
        <v>279.5</v>
      </c>
      <c r="AD52" s="14">
        <f>D9*AD$43*$K$6</f>
        <v>146.6</v>
      </c>
      <c r="AE52" s="14">
        <f>E9*AE$43*$K$6</f>
        <v>31.640000000000004</v>
      </c>
      <c r="AF52" s="13"/>
      <c r="AG52" s="14">
        <f>B9*AG$43*$K$6</f>
        <v>945.98000000000013</v>
      </c>
      <c r="AH52" s="14">
        <f>C9*AH$43*$K$6</f>
        <v>107.5</v>
      </c>
      <c r="AI52" s="14">
        <f>D9*AI$43*$K$6</f>
        <v>58.64</v>
      </c>
      <c r="AJ52" s="14">
        <f>E9*AJ$43*$K$6</f>
        <v>11.3</v>
      </c>
      <c r="AK52" s="13"/>
      <c r="AL52" s="14">
        <f>B9*AL$43</f>
        <v>6757</v>
      </c>
      <c r="AM52" s="14">
        <f>C9*AM$43</f>
        <v>1075</v>
      </c>
      <c r="AN52" s="14">
        <f>D9*AN$43</f>
        <v>733</v>
      </c>
      <c r="AO52" s="14">
        <f>E9*AO$43</f>
        <v>113</v>
      </c>
      <c r="AP52" s="13"/>
      <c r="AQ52" s="13"/>
      <c r="AR52" s="13"/>
    </row>
    <row r="53" spans="1:44" x14ac:dyDescent="0.15">
      <c r="A53" s="13" t="s">
        <v>28</v>
      </c>
      <c r="B53" s="14">
        <f>H53+M53+R53+W53+AB53+AG53+AL53</f>
        <v>16985.5</v>
      </c>
      <c r="C53" s="14">
        <f>I53+N53+S53+X53+AC53+AH53+AM53</f>
        <v>2969.3</v>
      </c>
      <c r="D53" s="14">
        <f>J53+O53+T53+Y53+AD53+AI53+AN53</f>
        <v>2316.16</v>
      </c>
      <c r="E53" s="14">
        <f>K53+P53+U53+Z53+AE53+AJ53+AO53</f>
        <v>265.64999999999998</v>
      </c>
      <c r="F53" s="19">
        <f>F10</f>
        <v>130</v>
      </c>
      <c r="G53" s="13"/>
      <c r="H53" s="14">
        <f>B10*H$43*$K$6</f>
        <v>1329.3</v>
      </c>
      <c r="I53" s="14">
        <f>C10*I$43*$K$6</f>
        <v>193.65</v>
      </c>
      <c r="J53" s="14">
        <f>D10*J$43*$K$6</f>
        <v>124.08</v>
      </c>
      <c r="K53" s="14">
        <f>E10*K$43*$K$6</f>
        <v>16.8</v>
      </c>
      <c r="L53" s="13"/>
      <c r="M53" s="14">
        <f>B10*M$43*$K$6</f>
        <v>1624.7</v>
      </c>
      <c r="N53" s="14">
        <f>C10*N$43*$K$6</f>
        <v>309.83999999999997</v>
      </c>
      <c r="O53" s="14">
        <f>D10*O$43*$K$6</f>
        <v>330.88</v>
      </c>
      <c r="P53" s="14">
        <f>E10*P$43*$K$6</f>
        <v>36.75</v>
      </c>
      <c r="Q53" s="13"/>
      <c r="R53" s="14">
        <f>B10*R$43*$K$6</f>
        <v>2806.3</v>
      </c>
      <c r="S53" s="14">
        <f>C10*S$43*$K$6</f>
        <v>516.4</v>
      </c>
      <c r="T53" s="14">
        <f>D10*T$43*$K$6</f>
        <v>351.56</v>
      </c>
      <c r="U53" s="14">
        <f>E10*U$43*$K$6</f>
        <v>46.2</v>
      </c>
      <c r="V53" s="13"/>
      <c r="W53" s="14">
        <f>B10*W$43*$K$6</f>
        <v>1033.9000000000001</v>
      </c>
      <c r="X53" s="14">
        <f>C10*X$43*$K$6</f>
        <v>193.65</v>
      </c>
      <c r="Y53" s="14">
        <f>D10*Y$43*$K$6</f>
        <v>186.12</v>
      </c>
      <c r="Z53" s="14">
        <f>E10*Z$43*$K$6</f>
        <v>21</v>
      </c>
      <c r="AA53" s="13"/>
      <c r="AB53" s="14">
        <f>B10*AB$43*$K$6</f>
        <v>1772.3999999999999</v>
      </c>
      <c r="AC53" s="14">
        <f>C10*AC$43*$K$6</f>
        <v>335.66</v>
      </c>
      <c r="AD53" s="14">
        <f>D10*AD$43*$K$6</f>
        <v>206.8</v>
      </c>
      <c r="AE53" s="14">
        <f>E10*AE$43*$K$6</f>
        <v>29.400000000000002</v>
      </c>
      <c r="AF53" s="13"/>
      <c r="AG53" s="14">
        <f>B10*AG$43*$K$6</f>
        <v>1033.9000000000001</v>
      </c>
      <c r="AH53" s="14">
        <f>C10*AH$43*$K$6</f>
        <v>129.1</v>
      </c>
      <c r="AI53" s="14">
        <f>D10*AI$43*$K$6</f>
        <v>82.72</v>
      </c>
      <c r="AJ53" s="14">
        <f>E10*AJ$43*$K$6</f>
        <v>10.5</v>
      </c>
      <c r="AK53" s="13"/>
      <c r="AL53" s="14">
        <f>B10*AL$43</f>
        <v>7385</v>
      </c>
      <c r="AM53" s="14">
        <f>C10*AM$43</f>
        <v>1291</v>
      </c>
      <c r="AN53" s="14">
        <f>D10*AN$43</f>
        <v>1034</v>
      </c>
      <c r="AO53" s="14">
        <f>E10*AO$43</f>
        <v>105</v>
      </c>
      <c r="AP53" s="13"/>
      <c r="AQ53" s="13"/>
      <c r="AR53" s="13"/>
    </row>
    <row r="54" spans="1:44" x14ac:dyDescent="0.15">
      <c r="A54" s="13" t="s">
        <v>30</v>
      </c>
      <c r="B54" s="14">
        <f>H54+M54+R54+W54+AB54+AG54+AL54</f>
        <v>16399</v>
      </c>
      <c r="C54" s="14">
        <f>I54+N54+S54+X54+AC54+AH54+AM54</f>
        <v>2518.5</v>
      </c>
      <c r="D54" s="14">
        <f>J54+O54+T54+Y54+AD54+AI54+AN54</f>
        <v>1805.44</v>
      </c>
      <c r="E54" s="14">
        <f>K54+P54+U54+Z54+AE54+AJ54+AO54</f>
        <v>235.29</v>
      </c>
      <c r="F54" s="19">
        <f>F11</f>
        <v>121</v>
      </c>
      <c r="G54" s="13"/>
      <c r="H54" s="14">
        <f>B11*H$43*$K$6</f>
        <v>1283.3999999999999</v>
      </c>
      <c r="I54" s="14">
        <f>C11*I$43*$K$6</f>
        <v>164.25</v>
      </c>
      <c r="J54" s="14">
        <f>D11*J$43*$K$6</f>
        <v>96.72</v>
      </c>
      <c r="K54" s="14">
        <f>E11*K$43*$K$6</f>
        <v>14.88</v>
      </c>
      <c r="L54" s="13"/>
      <c r="M54" s="14">
        <f>B11*M$43*$K$6</f>
        <v>1568.6</v>
      </c>
      <c r="N54" s="14">
        <f>C11*N$43*$K$6</f>
        <v>262.8</v>
      </c>
      <c r="O54" s="14">
        <f>D11*O$43*$K$6</f>
        <v>257.92</v>
      </c>
      <c r="P54" s="14">
        <f>E11*P$43*$K$6</f>
        <v>32.549999999999997</v>
      </c>
      <c r="Q54" s="13"/>
      <c r="R54" s="14">
        <f>B11*R$43*$K$6</f>
        <v>2709.4</v>
      </c>
      <c r="S54" s="14">
        <f>C11*S$43*$K$6</f>
        <v>438</v>
      </c>
      <c r="T54" s="14">
        <f>D11*T$43*$K$6</f>
        <v>274.04000000000002</v>
      </c>
      <c r="U54" s="14">
        <f>E11*U$43*$K$6</f>
        <v>40.92</v>
      </c>
      <c r="V54" s="13"/>
      <c r="W54" s="14">
        <f>B11*W$43*$K$6</f>
        <v>998.2</v>
      </c>
      <c r="X54" s="14">
        <f>C11*X$43*$K$6</f>
        <v>164.25</v>
      </c>
      <c r="Y54" s="14">
        <f>D11*Y$43*$K$6</f>
        <v>145.07999999999998</v>
      </c>
      <c r="Z54" s="14">
        <f>E11*Z$43*$K$6</f>
        <v>18.600000000000001</v>
      </c>
      <c r="AA54" s="13"/>
      <c r="AB54" s="14">
        <f>B11*AB$43*$K$6</f>
        <v>1711.2</v>
      </c>
      <c r="AC54" s="14">
        <f>C11*AC$43*$K$6</f>
        <v>284.7</v>
      </c>
      <c r="AD54" s="14">
        <f>D11*AD$43*$K$6</f>
        <v>161.20000000000002</v>
      </c>
      <c r="AE54" s="14">
        <f>E11*AE$43*$K$6</f>
        <v>26.040000000000003</v>
      </c>
      <c r="AF54" s="13"/>
      <c r="AG54" s="14">
        <f>B11*AG$43*$K$6</f>
        <v>998.2</v>
      </c>
      <c r="AH54" s="14">
        <f>C11*AH$43*$K$6</f>
        <v>109.5</v>
      </c>
      <c r="AI54" s="14">
        <f>D11*AI$43*$K$6</f>
        <v>64.48</v>
      </c>
      <c r="AJ54" s="14">
        <f>E11*AJ$43*$K$6</f>
        <v>9.3000000000000007</v>
      </c>
      <c r="AK54" s="13"/>
      <c r="AL54" s="14">
        <f>B11*AL$43</f>
        <v>7130</v>
      </c>
      <c r="AM54" s="14">
        <f>C11*AM$43</f>
        <v>1095</v>
      </c>
      <c r="AN54" s="14">
        <f>D11*AN$43</f>
        <v>806</v>
      </c>
      <c r="AO54" s="14">
        <f>E11*AO$43</f>
        <v>93</v>
      </c>
      <c r="AP54" s="13"/>
      <c r="AQ54" s="13"/>
      <c r="AR54" s="13"/>
    </row>
    <row r="55" spans="1:44" x14ac:dyDescent="0.15">
      <c r="A55" s="13"/>
      <c r="B55" s="13"/>
      <c r="C55" s="13"/>
      <c r="D55" s="13"/>
      <c r="E55" s="13"/>
      <c r="F55" s="13"/>
      <c r="G55" s="13"/>
      <c r="H55" s="23">
        <v>0.22</v>
      </c>
      <c r="I55" s="23">
        <v>0.18</v>
      </c>
      <c r="J55" s="23">
        <v>0.15</v>
      </c>
      <c r="K55" s="23">
        <v>0.2</v>
      </c>
      <c r="L55" s="13"/>
      <c r="M55" s="25">
        <v>0.25</v>
      </c>
      <c r="N55" s="25">
        <v>0.28000000000000003</v>
      </c>
      <c r="O55" s="25">
        <v>0.35</v>
      </c>
      <c r="P55" s="25">
        <v>0.4</v>
      </c>
      <c r="Q55" s="13"/>
      <c r="R55" s="27">
        <v>0.42</v>
      </c>
      <c r="S55" s="27">
        <v>0.45</v>
      </c>
      <c r="T55" s="27">
        <v>0.38</v>
      </c>
      <c r="U55" s="27">
        <v>0.5</v>
      </c>
      <c r="V55" s="13"/>
      <c r="W55" s="25">
        <v>0.2</v>
      </c>
      <c r="X55" s="25">
        <v>0.22</v>
      </c>
      <c r="Y55" s="25">
        <v>0.28000000000000003</v>
      </c>
      <c r="Z55" s="25">
        <v>0.32</v>
      </c>
      <c r="AA55" s="13"/>
      <c r="AB55" s="27">
        <v>0.38</v>
      </c>
      <c r="AC55" s="27">
        <v>0.4</v>
      </c>
      <c r="AD55" s="27">
        <v>0.32</v>
      </c>
      <c r="AE55" s="27">
        <v>0.45</v>
      </c>
      <c r="AF55" s="13"/>
      <c r="AG55" s="29">
        <v>0.18</v>
      </c>
      <c r="AH55" s="29">
        <v>0.12</v>
      </c>
      <c r="AI55" s="29">
        <v>0.08</v>
      </c>
      <c r="AJ55" s="29">
        <v>0.12</v>
      </c>
      <c r="AK55" s="13"/>
      <c r="AL55" s="31">
        <v>1</v>
      </c>
      <c r="AM55" s="31">
        <v>1</v>
      </c>
      <c r="AN55" s="31">
        <v>1</v>
      </c>
      <c r="AO55" s="31">
        <v>1</v>
      </c>
      <c r="AP55" s="13"/>
      <c r="AQ55" s="33" t="s">
        <v>104</v>
      </c>
      <c r="AR55" s="33"/>
    </row>
    <row r="56" spans="1:44" ht="14" x14ac:dyDescent="0.15">
      <c r="A56" s="22" t="s">
        <v>103</v>
      </c>
      <c r="B56" s="22"/>
      <c r="C56" s="22"/>
      <c r="D56" s="22"/>
      <c r="E56" s="22"/>
      <c r="F56" s="22"/>
      <c r="G56" s="13"/>
      <c r="H56" s="24" t="s">
        <v>82</v>
      </c>
      <c r="I56" s="24"/>
      <c r="J56" s="24"/>
      <c r="K56" s="24"/>
      <c r="L56" s="13"/>
      <c r="M56" s="26" t="s">
        <v>83</v>
      </c>
      <c r="N56" s="26"/>
      <c r="O56" s="26"/>
      <c r="P56" s="26"/>
      <c r="Q56" s="13"/>
      <c r="R56" s="28" t="s">
        <v>84</v>
      </c>
      <c r="S56" s="28"/>
      <c r="T56" s="28"/>
      <c r="U56" s="28"/>
      <c r="V56" s="13"/>
      <c r="W56" s="26" t="s">
        <v>85</v>
      </c>
      <c r="X56" s="26"/>
      <c r="Y56" s="26"/>
      <c r="Z56" s="26"/>
      <c r="AA56" s="13"/>
      <c r="AB56" s="28" t="s">
        <v>86</v>
      </c>
      <c r="AC56" s="28"/>
      <c r="AD56" s="28"/>
      <c r="AE56" s="28"/>
      <c r="AF56" s="13"/>
      <c r="AG56" s="30" t="s">
        <v>87</v>
      </c>
      <c r="AH56" s="30"/>
      <c r="AI56" s="30"/>
      <c r="AJ56" s="30"/>
      <c r="AK56" s="13"/>
      <c r="AL56" s="32" t="s">
        <v>102</v>
      </c>
      <c r="AM56" s="32"/>
      <c r="AN56" s="32"/>
      <c r="AO56" s="32"/>
      <c r="AP56" s="13"/>
      <c r="AQ56" s="13" t="s">
        <v>36</v>
      </c>
      <c r="AR56" s="34">
        <v>30</v>
      </c>
    </row>
    <row r="57" spans="1:44" x14ac:dyDescent="0.15">
      <c r="A57" s="17" t="s">
        <v>2</v>
      </c>
      <c r="B57" s="17" t="s">
        <v>3</v>
      </c>
      <c r="C57" s="17" t="s">
        <v>4</v>
      </c>
      <c r="D57" s="17" t="s">
        <v>5</v>
      </c>
      <c r="E57" s="17" t="s">
        <v>6</v>
      </c>
      <c r="F57" s="17" t="s">
        <v>7</v>
      </c>
      <c r="G57" s="13"/>
      <c r="H57" s="17" t="s">
        <v>3</v>
      </c>
      <c r="I57" s="17" t="s">
        <v>4</v>
      </c>
      <c r="J57" s="17" t="s">
        <v>5</v>
      </c>
      <c r="K57" s="17" t="s">
        <v>6</v>
      </c>
      <c r="L57" s="13"/>
      <c r="M57" s="17" t="s">
        <v>3</v>
      </c>
      <c r="N57" s="17" t="s">
        <v>4</v>
      </c>
      <c r="O57" s="17" t="s">
        <v>5</v>
      </c>
      <c r="P57" s="17" t="s">
        <v>6</v>
      </c>
      <c r="Q57" s="13"/>
      <c r="R57" s="17" t="s">
        <v>3</v>
      </c>
      <c r="S57" s="17" t="s">
        <v>4</v>
      </c>
      <c r="T57" s="17" t="s">
        <v>5</v>
      </c>
      <c r="U57" s="17" t="s">
        <v>6</v>
      </c>
      <c r="V57" s="13"/>
      <c r="W57" s="17" t="s">
        <v>3</v>
      </c>
      <c r="X57" s="17" t="s">
        <v>4</v>
      </c>
      <c r="Y57" s="17" t="s">
        <v>5</v>
      </c>
      <c r="Z57" s="17" t="s">
        <v>6</v>
      </c>
      <c r="AA57" s="13"/>
      <c r="AB57" s="17" t="s">
        <v>3</v>
      </c>
      <c r="AC57" s="17" t="s">
        <v>4</v>
      </c>
      <c r="AD57" s="17" t="s">
        <v>5</v>
      </c>
      <c r="AE57" s="17" t="s">
        <v>6</v>
      </c>
      <c r="AF57" s="13"/>
      <c r="AG57" s="17" t="s">
        <v>3</v>
      </c>
      <c r="AH57" s="17" t="s">
        <v>4</v>
      </c>
      <c r="AI57" s="17" t="s">
        <v>5</v>
      </c>
      <c r="AJ57" s="17" t="s">
        <v>6</v>
      </c>
      <c r="AK57" s="13"/>
      <c r="AL57" s="17" t="s">
        <v>3</v>
      </c>
      <c r="AM57" s="17" t="s">
        <v>4</v>
      </c>
      <c r="AN57" s="17" t="s">
        <v>5</v>
      </c>
      <c r="AO57" s="17" t="s">
        <v>6</v>
      </c>
      <c r="AP57" s="13"/>
      <c r="AQ57" s="13" t="s">
        <v>91</v>
      </c>
      <c r="AR57" s="34">
        <v>30</v>
      </c>
    </row>
    <row r="58" spans="1:44" x14ac:dyDescent="0.15">
      <c r="A58" s="13" t="s">
        <v>14</v>
      </c>
      <c r="B58" s="14">
        <f>H58+M58+R58+W58+AB58+AG58+AL58</f>
        <v>14908.900000000001</v>
      </c>
      <c r="C58" s="14">
        <f>I58+N58+S58+X58+AC58+AH58+AM58</f>
        <v>1036.1500000000001</v>
      </c>
      <c r="D58" s="14">
        <f>J58+O58+T58+Y58+AD58+AI58+AN58</f>
        <v>256</v>
      </c>
      <c r="E58" s="14">
        <f>K58+P58+U58+Z58+AE58+AJ58+AO58</f>
        <v>92.69</v>
      </c>
      <c r="F58" s="19">
        <f>F3</f>
        <v>85</v>
      </c>
      <c r="G58" s="13"/>
      <c r="H58" s="14">
        <f>B3*H$55*$K$7</f>
        <v>1237.72</v>
      </c>
      <c r="I58" s="14">
        <f>C3*I$55*$K$7</f>
        <v>70.38</v>
      </c>
      <c r="J58" s="14">
        <f>D3*J$55*$K$7</f>
        <v>15</v>
      </c>
      <c r="K58" s="14">
        <f>E3*K$55*$K$7</f>
        <v>6.2</v>
      </c>
      <c r="L58" s="13"/>
      <c r="M58" s="14">
        <f>B3*M$55*$K$7</f>
        <v>1406.5</v>
      </c>
      <c r="N58" s="14">
        <f>C3*N$55*$K$7</f>
        <v>109.48</v>
      </c>
      <c r="O58" s="14">
        <f>D3*O$55*$K$7</f>
        <v>35</v>
      </c>
      <c r="P58" s="14">
        <f>E3*P$55*$K$7</f>
        <v>12.4</v>
      </c>
      <c r="Q58" s="13"/>
      <c r="R58" s="14">
        <f>B3*R$55*$K$7</f>
        <v>2362.92</v>
      </c>
      <c r="S58" s="14">
        <f>C3*S$55*$K$7</f>
        <v>175.95000000000002</v>
      </c>
      <c r="T58" s="14">
        <f>D3*T$55*$K$7</f>
        <v>38</v>
      </c>
      <c r="U58" s="14">
        <f>E3*U$55*$K$7</f>
        <v>15.5</v>
      </c>
      <c r="V58" s="13"/>
      <c r="W58" s="14">
        <f>B3*W$55*$K$7</f>
        <v>1125.2</v>
      </c>
      <c r="X58" s="14">
        <f>C3*X$55*$K$7</f>
        <v>86.02</v>
      </c>
      <c r="Y58" s="14">
        <f>D3*Y$55*$K$7</f>
        <v>28.000000000000004</v>
      </c>
      <c r="Z58" s="14">
        <f>E3*Z$55*$K$7</f>
        <v>9.92</v>
      </c>
      <c r="AA58" s="13"/>
      <c r="AB58" s="14">
        <f>B3*AB$55*$K$7</f>
        <v>2137.88</v>
      </c>
      <c r="AC58" s="14">
        <f>C3*AC$55*$K$7</f>
        <v>156.4</v>
      </c>
      <c r="AD58" s="14">
        <f>D3*AD$55*$K$7</f>
        <v>32</v>
      </c>
      <c r="AE58" s="14">
        <f>E3*AE$55*$K$7</f>
        <v>13.950000000000001</v>
      </c>
      <c r="AF58" s="13"/>
      <c r="AG58" s="14">
        <f>B3*AG$55*$K$7</f>
        <v>1012.68</v>
      </c>
      <c r="AH58" s="14">
        <f>C3*AH$55*$K$7</f>
        <v>46.92</v>
      </c>
      <c r="AI58" s="14">
        <f>D3*AI$55*$K$7</f>
        <v>8</v>
      </c>
      <c r="AJ58" s="14">
        <f>E3*AJ$55*$K$7</f>
        <v>3.7199999999999998</v>
      </c>
      <c r="AK58" s="13"/>
      <c r="AL58" s="14">
        <f>B3*AL$55</f>
        <v>5626</v>
      </c>
      <c r="AM58" s="14">
        <f>C3*AM$55</f>
        <v>391</v>
      </c>
      <c r="AN58" s="14">
        <f>D3*AN$55</f>
        <v>100</v>
      </c>
      <c r="AO58" s="14">
        <f>E3*AO$55</f>
        <v>31</v>
      </c>
      <c r="AP58" s="13"/>
      <c r="AQ58" s="13" t="s">
        <v>92</v>
      </c>
      <c r="AR58" s="34">
        <v>60</v>
      </c>
    </row>
    <row r="59" spans="1:44" x14ac:dyDescent="0.15">
      <c r="A59" s="13" t="s">
        <v>15</v>
      </c>
      <c r="B59" s="14">
        <f>H59+M59+R59+W59+AB59+AG59+AL59</f>
        <v>14540.55</v>
      </c>
      <c r="C59" s="14">
        <f>I59+N59+S59+X59+AC59+AH59+AM59</f>
        <v>964.59999999999991</v>
      </c>
      <c r="D59" s="14">
        <f>J59+O59+T59+Y59+AD59+AI59+AN59</f>
        <v>358.4</v>
      </c>
      <c r="E59" s="14">
        <f>K59+P59+U59+Z59+AE59+AJ59+AO59</f>
        <v>89.7</v>
      </c>
      <c r="F59" s="19">
        <f>F4</f>
        <v>81</v>
      </c>
      <c r="G59" s="13"/>
      <c r="H59" s="14">
        <f>B4*H$55*$K$7</f>
        <v>1207.1400000000001</v>
      </c>
      <c r="I59" s="14">
        <f>C4*I$55*$K$7</f>
        <v>65.52</v>
      </c>
      <c r="J59" s="14">
        <f>D4*J$55*$K$7</f>
        <v>21</v>
      </c>
      <c r="K59" s="14">
        <f>E4*K$55*$K$7</f>
        <v>6</v>
      </c>
      <c r="L59" s="13"/>
      <c r="M59" s="14">
        <f>B4*M$55*$K$7</f>
        <v>1371.75</v>
      </c>
      <c r="N59" s="14">
        <f>C4*N$55*$K$7</f>
        <v>101.92000000000002</v>
      </c>
      <c r="O59" s="14">
        <f>D4*O$55*$K$7</f>
        <v>49</v>
      </c>
      <c r="P59" s="14">
        <f>E4*P$55*$K$7</f>
        <v>12</v>
      </c>
      <c r="Q59" s="13"/>
      <c r="R59" s="14">
        <f>B4*R$55*$K$7</f>
        <v>2304.54</v>
      </c>
      <c r="S59" s="14">
        <f>C4*S$55*$K$7</f>
        <v>163.80000000000001</v>
      </c>
      <c r="T59" s="14">
        <f>D4*T$55*$K$7</f>
        <v>53.2</v>
      </c>
      <c r="U59" s="14">
        <f>E4*U$55*$K$7</f>
        <v>15</v>
      </c>
      <c r="V59" s="13"/>
      <c r="W59" s="14">
        <f>B4*W$55*$K$7</f>
        <v>1097.4000000000001</v>
      </c>
      <c r="X59" s="14">
        <f>C4*X$55*$K$7</f>
        <v>80.08</v>
      </c>
      <c r="Y59" s="14">
        <f>D4*Y$55*$K$7</f>
        <v>39.200000000000003</v>
      </c>
      <c r="Z59" s="14">
        <f>E4*Z$55*$K$7</f>
        <v>9.6</v>
      </c>
      <c r="AA59" s="13"/>
      <c r="AB59" s="14">
        <f>B4*AB$55*$K$7</f>
        <v>2085.06</v>
      </c>
      <c r="AC59" s="14">
        <f>C4*AC$55*$K$7</f>
        <v>145.6</v>
      </c>
      <c r="AD59" s="14">
        <f>D4*AD$55*$K$7</f>
        <v>44.800000000000004</v>
      </c>
      <c r="AE59" s="14">
        <f>E4*AE$55*$K$7</f>
        <v>13.5</v>
      </c>
      <c r="AF59" s="13"/>
      <c r="AG59" s="14">
        <f>B4*AG$55*$K$7</f>
        <v>987.66</v>
      </c>
      <c r="AH59" s="14">
        <f>C4*AH$55*$K$7</f>
        <v>43.68</v>
      </c>
      <c r="AI59" s="14">
        <f>D4*AI$55*$K$7</f>
        <v>11.200000000000001</v>
      </c>
      <c r="AJ59" s="14">
        <f>E4*AJ$55*$K$7</f>
        <v>3.5999999999999996</v>
      </c>
      <c r="AK59" s="13"/>
      <c r="AL59" s="14">
        <f>B4*AL$55</f>
        <v>5487</v>
      </c>
      <c r="AM59" s="14">
        <f>C4*AM$55</f>
        <v>364</v>
      </c>
      <c r="AN59" s="14">
        <f>D4*AN$55</f>
        <v>140</v>
      </c>
      <c r="AO59" s="14">
        <f>E4*AO$55</f>
        <v>30</v>
      </c>
      <c r="AP59" s="13"/>
      <c r="AQ59" s="13" t="s">
        <v>93</v>
      </c>
      <c r="AR59" s="34">
        <v>25</v>
      </c>
    </row>
    <row r="60" spans="1:44" x14ac:dyDescent="0.15">
      <c r="A60" s="13" t="s">
        <v>18</v>
      </c>
      <c r="B60" s="14">
        <f>H60+M60+R60+W60+AB60+AG60+AL60</f>
        <v>16718.849999999999</v>
      </c>
      <c r="C60" s="14">
        <f>I60+N60+S60+X60+AC60+AH60+AM60</f>
        <v>1491.95</v>
      </c>
      <c r="D60" s="14">
        <f>J60+O60+T60+Y60+AD60+AI60+AN60</f>
        <v>727.04000000000008</v>
      </c>
      <c r="E60" s="14">
        <f>K60+P60+U60+Z60+AE60+AJ60+AO60</f>
        <v>158.47000000000003</v>
      </c>
      <c r="F60" s="19">
        <f>F5</f>
        <v>103</v>
      </c>
      <c r="G60" s="13"/>
      <c r="H60" s="14">
        <f>B5*H$55*$K$7</f>
        <v>1387.98</v>
      </c>
      <c r="I60" s="14">
        <f>C5*I$55*$K$7</f>
        <v>101.33999999999999</v>
      </c>
      <c r="J60" s="14">
        <f>D5*J$55*$K$7</f>
        <v>42.6</v>
      </c>
      <c r="K60" s="14">
        <f>E5*K$55*$K$7</f>
        <v>10.600000000000001</v>
      </c>
      <c r="L60" s="13"/>
      <c r="M60" s="14">
        <f>B5*M$55*$K$7</f>
        <v>1577.25</v>
      </c>
      <c r="N60" s="14">
        <f>C5*N$55*$K$7</f>
        <v>157.64000000000001</v>
      </c>
      <c r="O60" s="14">
        <f>D5*O$55*$K$7</f>
        <v>99.399999999999991</v>
      </c>
      <c r="P60" s="14">
        <f>E5*P$55*$K$7</f>
        <v>21.200000000000003</v>
      </c>
      <c r="Q60" s="13"/>
      <c r="R60" s="14">
        <f>B5*R$55*$K$7</f>
        <v>2649.7799999999997</v>
      </c>
      <c r="S60" s="14">
        <f>C5*S$55*$K$7</f>
        <v>253.35</v>
      </c>
      <c r="T60" s="14">
        <f>D5*T$55*$K$7</f>
        <v>107.92</v>
      </c>
      <c r="U60" s="14">
        <f>E5*U$55*$K$7</f>
        <v>26.5</v>
      </c>
      <c r="V60" s="13"/>
      <c r="W60" s="14">
        <f>B5*W$55*$K$7</f>
        <v>1261.8000000000002</v>
      </c>
      <c r="X60" s="14">
        <f>C5*X$55*$K$7</f>
        <v>123.86</v>
      </c>
      <c r="Y60" s="14">
        <f>D5*Y$55*$K$7</f>
        <v>79.52000000000001</v>
      </c>
      <c r="Z60" s="14">
        <f>E5*Z$55*$K$7</f>
        <v>16.96</v>
      </c>
      <c r="AA60" s="13"/>
      <c r="AB60" s="14">
        <f>B5*AB$55*$K$7</f>
        <v>2397.42</v>
      </c>
      <c r="AC60" s="14">
        <f>C5*AC$55*$K$7</f>
        <v>225.20000000000002</v>
      </c>
      <c r="AD60" s="14">
        <f>D5*AD$55*$K$7</f>
        <v>90.88</v>
      </c>
      <c r="AE60" s="14">
        <f>E5*AE$55*$K$7</f>
        <v>23.85</v>
      </c>
      <c r="AF60" s="13"/>
      <c r="AG60" s="14">
        <f>B5*AG$55*$K$7</f>
        <v>1135.6199999999999</v>
      </c>
      <c r="AH60" s="14">
        <f>C5*AH$55*$K$7</f>
        <v>67.56</v>
      </c>
      <c r="AI60" s="14">
        <f>D5*AI$55*$K$7</f>
        <v>22.72</v>
      </c>
      <c r="AJ60" s="14">
        <f>E5*AJ$55*$K$7</f>
        <v>6.3599999999999994</v>
      </c>
      <c r="AK60" s="13"/>
      <c r="AL60" s="14">
        <f>B5*AL$55</f>
        <v>6309</v>
      </c>
      <c r="AM60" s="14">
        <f>C5*AM$55</f>
        <v>563</v>
      </c>
      <c r="AN60" s="14">
        <f>D5*AN$55</f>
        <v>284</v>
      </c>
      <c r="AO60" s="14">
        <f>E5*AO$55</f>
        <v>53</v>
      </c>
      <c r="AP60" s="13"/>
      <c r="AQ60" s="13" t="s">
        <v>94</v>
      </c>
      <c r="AR60" s="34">
        <v>55</v>
      </c>
    </row>
    <row r="61" spans="1:44" x14ac:dyDescent="0.15">
      <c r="A61" s="13" t="s">
        <v>20</v>
      </c>
      <c r="B61" s="14">
        <f>H61+M61+R61+W61+AB61+AG61+AL61</f>
        <v>16957.349999999999</v>
      </c>
      <c r="C61" s="14">
        <f>I61+N61+S61+X61+AC61+AH61+AM61</f>
        <v>1849.7</v>
      </c>
      <c r="D61" s="14">
        <f>J61+O61+T61+Y61+AD61+AI61+AN61</f>
        <v>911.36</v>
      </c>
      <c r="E61" s="14">
        <f>K61+P61+U61+Z61+AE61+AJ61+AO61</f>
        <v>212.29</v>
      </c>
      <c r="F61" s="19">
        <f>F6</f>
        <v>106</v>
      </c>
      <c r="G61" s="13"/>
      <c r="H61" s="14">
        <f>B6*H$55*$K$7</f>
        <v>1407.78</v>
      </c>
      <c r="I61" s="14">
        <f>C6*I$55*$K$7</f>
        <v>125.64</v>
      </c>
      <c r="J61" s="14">
        <f>D6*J$55*$K$7</f>
        <v>53.4</v>
      </c>
      <c r="K61" s="14">
        <f>E6*K$55*$K$7</f>
        <v>14.200000000000001</v>
      </c>
      <c r="L61" s="13"/>
      <c r="M61" s="14">
        <f>B6*M$55*$K$7</f>
        <v>1599.75</v>
      </c>
      <c r="N61" s="14">
        <f>C6*N$55*$K$7</f>
        <v>195.44000000000003</v>
      </c>
      <c r="O61" s="14">
        <f>D6*O$55*$K$7</f>
        <v>124.6</v>
      </c>
      <c r="P61" s="14">
        <f>E6*P$55*$K$7</f>
        <v>28.400000000000002</v>
      </c>
      <c r="Q61" s="13"/>
      <c r="R61" s="14">
        <f>B6*R$55*$K$7</f>
        <v>2687.58</v>
      </c>
      <c r="S61" s="14">
        <f>C6*S$55*$K$7</f>
        <v>314.10000000000002</v>
      </c>
      <c r="T61" s="14">
        <f>D6*T$55*$K$7</f>
        <v>135.28</v>
      </c>
      <c r="U61" s="14">
        <f>E6*U$55*$K$7</f>
        <v>35.5</v>
      </c>
      <c r="V61" s="13"/>
      <c r="W61" s="14">
        <f>B6*W$55*$K$7</f>
        <v>1279.8000000000002</v>
      </c>
      <c r="X61" s="14">
        <f>C6*X$55*$K$7</f>
        <v>153.56</v>
      </c>
      <c r="Y61" s="14">
        <f>D6*Y$55*$K$7</f>
        <v>99.68</v>
      </c>
      <c r="Z61" s="14">
        <f>E6*Z$55*$K$7</f>
        <v>22.72</v>
      </c>
      <c r="AA61" s="13"/>
      <c r="AB61" s="14">
        <f>B6*AB$55*$K$7</f>
        <v>2431.62</v>
      </c>
      <c r="AC61" s="14">
        <f>C6*AC$55*$K$7</f>
        <v>279.2</v>
      </c>
      <c r="AD61" s="14">
        <f>D6*AD$55*$K$7</f>
        <v>113.92</v>
      </c>
      <c r="AE61" s="14">
        <f>E6*AE$55*$K$7</f>
        <v>31.95</v>
      </c>
      <c r="AF61" s="13"/>
      <c r="AG61" s="14">
        <f>B6*AG$55*$K$7</f>
        <v>1151.82</v>
      </c>
      <c r="AH61" s="14">
        <f>C6*AH$55*$K$7</f>
        <v>83.759999999999991</v>
      </c>
      <c r="AI61" s="14">
        <f>D6*AI$55*$K$7</f>
        <v>28.48</v>
      </c>
      <c r="AJ61" s="14">
        <f>E6*AJ$55*$K$7</f>
        <v>8.52</v>
      </c>
      <c r="AK61" s="13"/>
      <c r="AL61" s="14">
        <f>B6*AL$55</f>
        <v>6399</v>
      </c>
      <c r="AM61" s="14">
        <f>C6*AM$55</f>
        <v>698</v>
      </c>
      <c r="AN61" s="14">
        <f>D6*AN$55</f>
        <v>356</v>
      </c>
      <c r="AO61" s="14">
        <f>E6*AO$55</f>
        <v>71</v>
      </c>
      <c r="AP61" s="13"/>
      <c r="AQ61" s="13" t="s">
        <v>39</v>
      </c>
      <c r="AR61" s="34">
        <v>20</v>
      </c>
    </row>
    <row r="62" spans="1:44" x14ac:dyDescent="0.15">
      <c r="A62" s="13" t="s">
        <v>22</v>
      </c>
      <c r="B62" s="14">
        <f>H62+M62+R62+W62+AB62+AG62+AL62</f>
        <v>17182.599999999999</v>
      </c>
      <c r="C62" s="14">
        <f>I62+N62+S62+X62+AC62+AH62+AM62</f>
        <v>3161.4500000000003</v>
      </c>
      <c r="D62" s="14">
        <f>J62+O62+T62+Y62+AD62+AI62+AN62</f>
        <v>2096.6400000000003</v>
      </c>
      <c r="E62" s="14">
        <f>K62+P62+U62+Z62+AE62+AJ62+AO62</f>
        <v>304.98</v>
      </c>
      <c r="F62" s="19">
        <f>F7</f>
        <v>106</v>
      </c>
      <c r="G62" s="13"/>
      <c r="H62" s="14">
        <f>B7*H$55*$K$7</f>
        <v>1426.48</v>
      </c>
      <c r="I62" s="14">
        <f>C7*I$55*$K$7</f>
        <v>214.73999999999998</v>
      </c>
      <c r="J62" s="14">
        <f>D7*J$55*$K$7</f>
        <v>122.85</v>
      </c>
      <c r="K62" s="14">
        <f>E7*K$55*$K$7</f>
        <v>20.400000000000002</v>
      </c>
      <c r="L62" s="13"/>
      <c r="M62" s="14">
        <f>B7*M$55*$K$7</f>
        <v>1621</v>
      </c>
      <c r="N62" s="14">
        <f>C7*N$55*$K$7</f>
        <v>334.04</v>
      </c>
      <c r="O62" s="14">
        <f>D7*O$55*$K$7</f>
        <v>286.64999999999998</v>
      </c>
      <c r="P62" s="14">
        <f>E7*P$55*$K$7</f>
        <v>40.800000000000004</v>
      </c>
      <c r="Q62" s="13"/>
      <c r="R62" s="14">
        <f>B7*R$55*$K$7</f>
        <v>2723.2799999999997</v>
      </c>
      <c r="S62" s="14">
        <f>C7*S$55*$K$7</f>
        <v>536.85</v>
      </c>
      <c r="T62" s="14">
        <f>D7*T$55*$K$7</f>
        <v>311.22000000000003</v>
      </c>
      <c r="U62" s="14">
        <f>E7*U$55*$K$7</f>
        <v>51</v>
      </c>
      <c r="V62" s="13"/>
      <c r="W62" s="14">
        <f>B7*W$55*$K$7</f>
        <v>1296.8000000000002</v>
      </c>
      <c r="X62" s="14">
        <f>C7*X$55*$K$7</f>
        <v>262.45999999999998</v>
      </c>
      <c r="Y62" s="14">
        <f>D7*Y$55*$K$7</f>
        <v>229.32000000000002</v>
      </c>
      <c r="Z62" s="14">
        <f>E7*Z$55*$K$7</f>
        <v>32.64</v>
      </c>
      <c r="AA62" s="13"/>
      <c r="AB62" s="14">
        <f>B7*AB$55*$K$7</f>
        <v>2463.92</v>
      </c>
      <c r="AC62" s="14">
        <f>C7*AC$55*$K$7</f>
        <v>477.20000000000005</v>
      </c>
      <c r="AD62" s="14">
        <f>D7*AD$55*$K$7</f>
        <v>262.08</v>
      </c>
      <c r="AE62" s="14">
        <f>E7*AE$55*$K$7</f>
        <v>45.9</v>
      </c>
      <c r="AF62" s="13"/>
      <c r="AG62" s="14">
        <f>B7*AG$55*$K$7</f>
        <v>1167.1199999999999</v>
      </c>
      <c r="AH62" s="14">
        <f>C7*AH$55*$K$7</f>
        <v>143.16</v>
      </c>
      <c r="AI62" s="14">
        <f>D7*AI$55*$K$7</f>
        <v>65.52</v>
      </c>
      <c r="AJ62" s="14">
        <f>E7*AJ$55*$K$7</f>
        <v>12.24</v>
      </c>
      <c r="AK62" s="13"/>
      <c r="AL62" s="14">
        <f>B7*AL$55</f>
        <v>6484</v>
      </c>
      <c r="AM62" s="14">
        <f>C7*AM$55</f>
        <v>1193</v>
      </c>
      <c r="AN62" s="14">
        <f>D7*AN$55</f>
        <v>819</v>
      </c>
      <c r="AO62" s="14">
        <f>E7*AO$55</f>
        <v>102</v>
      </c>
      <c r="AP62" s="13"/>
      <c r="AQ62" s="13" t="s">
        <v>45</v>
      </c>
      <c r="AR62" s="34">
        <v>80</v>
      </c>
    </row>
    <row r="63" spans="1:44" x14ac:dyDescent="0.15">
      <c r="A63" s="13" t="s">
        <v>24</v>
      </c>
      <c r="B63" s="14">
        <f>H63+M63+R63+W63+AB63+AG63+AL63</f>
        <v>16048.4</v>
      </c>
      <c r="C63" s="14">
        <f>I63+N63+S63+X63+AC63+AH63+AM63</f>
        <v>1751.6499999999999</v>
      </c>
      <c r="D63" s="14">
        <f>J63+O63+T63+Y63+AD63+AI63+AN63</f>
        <v>688.64</v>
      </c>
      <c r="E63" s="14">
        <f>K63+P63+U63+Z63+AE63+AJ63+AO63</f>
        <v>260.13</v>
      </c>
      <c r="F63" s="19">
        <f>F8</f>
        <v>95</v>
      </c>
      <c r="G63" s="13"/>
      <c r="H63" s="14">
        <f>B8*H$55*$K$7</f>
        <v>1332.32</v>
      </c>
      <c r="I63" s="14">
        <f>C8*I$55*$K$7</f>
        <v>118.97999999999999</v>
      </c>
      <c r="J63" s="14">
        <f>D8*J$55*$K$7</f>
        <v>40.35</v>
      </c>
      <c r="K63" s="14">
        <f>E8*K$55*$K$7</f>
        <v>17.400000000000002</v>
      </c>
      <c r="L63" s="13"/>
      <c r="M63" s="14">
        <f>B8*M$55*$K$7</f>
        <v>1514</v>
      </c>
      <c r="N63" s="14">
        <f>C8*N$55*$K$7</f>
        <v>185.08</v>
      </c>
      <c r="O63" s="14">
        <f>D8*O$55*$K$7</f>
        <v>94.149999999999991</v>
      </c>
      <c r="P63" s="14">
        <f>E8*P$55*$K$7</f>
        <v>34.800000000000004</v>
      </c>
      <c r="Q63" s="13"/>
      <c r="R63" s="14">
        <f>B8*R$55*$K$7</f>
        <v>2543.52</v>
      </c>
      <c r="S63" s="14">
        <f>C8*S$55*$K$7</f>
        <v>297.45</v>
      </c>
      <c r="T63" s="14">
        <f>D8*T$55*$K$7</f>
        <v>102.22</v>
      </c>
      <c r="U63" s="14">
        <f>E8*U$55*$K$7</f>
        <v>43.5</v>
      </c>
      <c r="V63" s="13"/>
      <c r="W63" s="14">
        <f>B8*W$55*$K$7</f>
        <v>1211.2</v>
      </c>
      <c r="X63" s="14">
        <f>C8*X$55*$K$7</f>
        <v>145.41999999999999</v>
      </c>
      <c r="Y63" s="14">
        <f>D8*Y$55*$K$7</f>
        <v>75.320000000000007</v>
      </c>
      <c r="Z63" s="14">
        <f>E8*Z$55*$K$7</f>
        <v>27.84</v>
      </c>
      <c r="AA63" s="13"/>
      <c r="AB63" s="14">
        <f>B8*AB$55*$K$7</f>
        <v>2301.2800000000002</v>
      </c>
      <c r="AC63" s="14">
        <f>C8*AC$55*$K$7</f>
        <v>264.40000000000003</v>
      </c>
      <c r="AD63" s="14">
        <f>D8*AD$55*$K$7</f>
        <v>86.08</v>
      </c>
      <c r="AE63" s="14">
        <f>E8*AE$55*$K$7</f>
        <v>39.15</v>
      </c>
      <c r="AF63" s="13"/>
      <c r="AG63" s="14">
        <f>B8*AG$55*$K$7</f>
        <v>1090.08</v>
      </c>
      <c r="AH63" s="14">
        <f>C8*AH$55*$K$7</f>
        <v>79.319999999999993</v>
      </c>
      <c r="AI63" s="14">
        <f>D8*AI$55*$K$7</f>
        <v>21.52</v>
      </c>
      <c r="AJ63" s="14">
        <f>E8*AJ$55*$K$7</f>
        <v>10.44</v>
      </c>
      <c r="AK63" s="13"/>
      <c r="AL63" s="14">
        <f>B8*AL$55</f>
        <v>6056</v>
      </c>
      <c r="AM63" s="14">
        <f>C8*AM$55</f>
        <v>661</v>
      </c>
      <c r="AN63" s="14">
        <f>D8*AN$55</f>
        <v>269</v>
      </c>
      <c r="AO63" s="14">
        <f>E8*AO$55</f>
        <v>87</v>
      </c>
      <c r="AP63" s="13"/>
      <c r="AQ63" s="15" t="s">
        <v>95</v>
      </c>
      <c r="AR63" s="35">
        <f>SUM(AR56:AR62)</f>
        <v>300</v>
      </c>
    </row>
    <row r="64" spans="1:44" x14ac:dyDescent="0.15">
      <c r="A64" s="13" t="s">
        <v>26</v>
      </c>
      <c r="B64" s="14">
        <f>H64+M64+R64+W64+AB64+AG64+AL64</f>
        <v>17906.05</v>
      </c>
      <c r="C64" s="14">
        <f>I64+N64+S64+X64+AC64+AH64+AM64</f>
        <v>2848.75</v>
      </c>
      <c r="D64" s="14">
        <f>J64+O64+T64+Y64+AD64+AI64+AN64</f>
        <v>1876.48</v>
      </c>
      <c r="E64" s="14">
        <f>K64+P64+U64+Z64+AE64+AJ64+AO64</f>
        <v>337.87</v>
      </c>
      <c r="F64" s="19">
        <f>F9</f>
        <v>112</v>
      </c>
      <c r="G64" s="13"/>
      <c r="H64" s="14">
        <f>B9*H$55*$K$7</f>
        <v>1486.54</v>
      </c>
      <c r="I64" s="14">
        <f>C9*I$55*$K$7</f>
        <v>193.5</v>
      </c>
      <c r="J64" s="14">
        <f>D9*J$55*$K$7</f>
        <v>109.95</v>
      </c>
      <c r="K64" s="14">
        <f>E9*K$55*$K$7</f>
        <v>22.6</v>
      </c>
      <c r="L64" s="13"/>
      <c r="M64" s="14">
        <f>B9*M$55*$K$7</f>
        <v>1689.25</v>
      </c>
      <c r="N64" s="14">
        <f>C9*N$55*$K$7</f>
        <v>301.00000000000006</v>
      </c>
      <c r="O64" s="14">
        <f>D9*O$55*$K$7</f>
        <v>256.55</v>
      </c>
      <c r="P64" s="14">
        <f>E9*P$55*$K$7</f>
        <v>45.2</v>
      </c>
      <c r="Q64" s="13"/>
      <c r="R64" s="14">
        <f>B9*R$55*$K$7</f>
        <v>2837.94</v>
      </c>
      <c r="S64" s="14">
        <f>C9*S$55*$K$7</f>
        <v>483.75</v>
      </c>
      <c r="T64" s="14">
        <f>D9*T$55*$K$7</f>
        <v>278.54000000000002</v>
      </c>
      <c r="U64" s="14">
        <f>E9*U$55*$K$7</f>
        <v>56.5</v>
      </c>
      <c r="V64" s="13"/>
      <c r="W64" s="14">
        <f>B9*W$55*$K$7</f>
        <v>1351.4</v>
      </c>
      <c r="X64" s="14">
        <f>C9*X$55*$K$7</f>
        <v>236.5</v>
      </c>
      <c r="Y64" s="14">
        <f>D9*Y$55*$K$7</f>
        <v>205.24</v>
      </c>
      <c r="Z64" s="14">
        <f>E9*Z$55*$K$7</f>
        <v>36.160000000000004</v>
      </c>
      <c r="AA64" s="13"/>
      <c r="AB64" s="14">
        <f>B9*AB$55*$K$7</f>
        <v>2567.66</v>
      </c>
      <c r="AC64" s="14">
        <f>C9*AC$55*$K$7</f>
        <v>430</v>
      </c>
      <c r="AD64" s="14">
        <f>D9*AD$55*$K$7</f>
        <v>234.56</v>
      </c>
      <c r="AE64" s="14">
        <f>E9*AE$55*$K$7</f>
        <v>50.85</v>
      </c>
      <c r="AF64" s="13"/>
      <c r="AG64" s="14">
        <f>B9*AG$55*$K$7</f>
        <v>1216.26</v>
      </c>
      <c r="AH64" s="14">
        <f>C9*AH$55*$K$7</f>
        <v>129</v>
      </c>
      <c r="AI64" s="14">
        <f>D9*AI$55*$K$7</f>
        <v>58.64</v>
      </c>
      <c r="AJ64" s="14">
        <f>E9*AJ$55*$K$7</f>
        <v>13.559999999999999</v>
      </c>
      <c r="AK64" s="13"/>
      <c r="AL64" s="14">
        <f>B9*AL$55</f>
        <v>6757</v>
      </c>
      <c r="AM64" s="14">
        <f>C9*AM$55</f>
        <v>1075</v>
      </c>
      <c r="AN64" s="14">
        <f>D9*AN$55</f>
        <v>733</v>
      </c>
      <c r="AO64" s="14">
        <f>E9*AO$55</f>
        <v>113</v>
      </c>
      <c r="AP64" s="13"/>
      <c r="AQ64" s="13"/>
      <c r="AR64" s="13"/>
    </row>
    <row r="65" spans="1:44" x14ac:dyDescent="0.15">
      <c r="A65" s="13" t="s">
        <v>28</v>
      </c>
      <c r="B65" s="14">
        <f>H65+M65+R65+W65+AB65+AG65+AL65</f>
        <v>19570.25</v>
      </c>
      <c r="C65" s="14">
        <f>I65+N65+S65+X65+AC65+AH65+AM65</f>
        <v>3421.15</v>
      </c>
      <c r="D65" s="14">
        <f>J65+O65+T65+Y65+AD65+AI65+AN65</f>
        <v>2647.04</v>
      </c>
      <c r="E65" s="14">
        <f>K65+P65+U65+Z65+AE65+AJ65+AO65</f>
        <v>313.95</v>
      </c>
      <c r="F65" s="19">
        <f>F10</f>
        <v>130</v>
      </c>
      <c r="G65" s="13"/>
      <c r="H65" s="14">
        <f>B10*H$55*$K$7</f>
        <v>1624.7</v>
      </c>
      <c r="I65" s="14">
        <f>C10*I$55*$K$7</f>
        <v>232.38</v>
      </c>
      <c r="J65" s="14">
        <f>D10*J$55*$K$7</f>
        <v>155.1</v>
      </c>
      <c r="K65" s="14">
        <f>E10*K$55*$K$7</f>
        <v>21</v>
      </c>
      <c r="L65" s="13"/>
      <c r="M65" s="14">
        <f>B10*M$55*$K$7</f>
        <v>1846.25</v>
      </c>
      <c r="N65" s="14">
        <f>C10*N$55*$K$7</f>
        <v>361.48</v>
      </c>
      <c r="O65" s="14">
        <f>D10*O$55*$K$7</f>
        <v>361.9</v>
      </c>
      <c r="P65" s="14">
        <f>E10*P$55*$K$7</f>
        <v>42</v>
      </c>
      <c r="Q65" s="13"/>
      <c r="R65" s="14">
        <f>B10*R$55*$K$7</f>
        <v>3101.7</v>
      </c>
      <c r="S65" s="14">
        <f>C10*S$55*$K$7</f>
        <v>580.95000000000005</v>
      </c>
      <c r="T65" s="14">
        <f>D10*T$55*$K$7</f>
        <v>392.92</v>
      </c>
      <c r="U65" s="14">
        <f>E10*U$55*$K$7</f>
        <v>52.5</v>
      </c>
      <c r="V65" s="13"/>
      <c r="W65" s="14">
        <f>B10*W$55*$K$7</f>
        <v>1477</v>
      </c>
      <c r="X65" s="14">
        <f>C10*X$55*$K$7</f>
        <v>284.02</v>
      </c>
      <c r="Y65" s="14">
        <f>D10*Y$55*$K$7</f>
        <v>289.52000000000004</v>
      </c>
      <c r="Z65" s="14">
        <f>E10*Z$55*$K$7</f>
        <v>33.6</v>
      </c>
      <c r="AA65" s="13"/>
      <c r="AB65" s="14">
        <f>B10*AB$55*$K$7</f>
        <v>2806.3</v>
      </c>
      <c r="AC65" s="14">
        <f>C10*AC$55*$K$7</f>
        <v>516.4</v>
      </c>
      <c r="AD65" s="14">
        <f>D10*AD$55*$K$7</f>
        <v>330.88</v>
      </c>
      <c r="AE65" s="14">
        <f>E10*AE$55*$K$7</f>
        <v>47.25</v>
      </c>
      <c r="AF65" s="13"/>
      <c r="AG65" s="14">
        <f>B10*AG$55*$K$7</f>
        <v>1329.3</v>
      </c>
      <c r="AH65" s="14">
        <f>C10*AH$55*$K$7</f>
        <v>154.91999999999999</v>
      </c>
      <c r="AI65" s="14">
        <f>D10*AI$55*$K$7</f>
        <v>82.72</v>
      </c>
      <c r="AJ65" s="14">
        <f>E10*AJ$55*$K$7</f>
        <v>12.6</v>
      </c>
      <c r="AK65" s="13"/>
      <c r="AL65" s="14">
        <f>B10*AL$55</f>
        <v>7385</v>
      </c>
      <c r="AM65" s="14">
        <f>C10*AM$55</f>
        <v>1291</v>
      </c>
      <c r="AN65" s="14">
        <f>D10*AN$55</f>
        <v>1034</v>
      </c>
      <c r="AO65" s="14">
        <f>E10*AO$55</f>
        <v>105</v>
      </c>
      <c r="AP65" s="13"/>
      <c r="AQ65" s="13"/>
      <c r="AR65" s="13"/>
    </row>
    <row r="66" spans="1:44" x14ac:dyDescent="0.15">
      <c r="A66" s="13" t="s">
        <v>30</v>
      </c>
      <c r="B66" s="14">
        <f>H66+M66+R66+W66+AB66+AG66+AL66</f>
        <v>18894.5</v>
      </c>
      <c r="C66" s="14">
        <f>I66+N66+S66+X66+AC66+AH66+AM66</f>
        <v>2901.75</v>
      </c>
      <c r="D66" s="14">
        <f>J66+O66+T66+Y66+AD66+AI66+AN66</f>
        <v>2063.36</v>
      </c>
      <c r="E66" s="14">
        <f>K66+P66+U66+Z66+AE66+AJ66+AO66</f>
        <v>278.07</v>
      </c>
      <c r="F66" s="19">
        <f>F11</f>
        <v>121</v>
      </c>
      <c r="G66" s="13"/>
      <c r="H66" s="14">
        <f>B11*H$55*$K$7</f>
        <v>1568.6</v>
      </c>
      <c r="I66" s="14">
        <f>C11*I$55*$K$7</f>
        <v>197.1</v>
      </c>
      <c r="J66" s="14">
        <f>D11*J$55*$K$7</f>
        <v>120.89999999999999</v>
      </c>
      <c r="K66" s="14">
        <f>E11*K$55*$K$7</f>
        <v>18.600000000000001</v>
      </c>
      <c r="L66" s="13"/>
      <c r="M66" s="14">
        <f>B11*M$55*$K$7</f>
        <v>1782.5</v>
      </c>
      <c r="N66" s="14">
        <f>C11*N$55*$K$7</f>
        <v>306.60000000000002</v>
      </c>
      <c r="O66" s="14">
        <f>D11*O$55*$K$7</f>
        <v>282.09999999999997</v>
      </c>
      <c r="P66" s="14">
        <f>E11*P$55*$K$7</f>
        <v>37.200000000000003</v>
      </c>
      <c r="Q66" s="13"/>
      <c r="R66" s="14">
        <f>B11*R$55*$K$7</f>
        <v>2994.6</v>
      </c>
      <c r="S66" s="14">
        <f>C11*S$55*$K$7</f>
        <v>492.75</v>
      </c>
      <c r="T66" s="14">
        <f>D11*T$55*$K$7</f>
        <v>306.28000000000003</v>
      </c>
      <c r="U66" s="14">
        <f>E11*U$55*$K$7</f>
        <v>46.5</v>
      </c>
      <c r="V66" s="13"/>
      <c r="W66" s="14">
        <f>B11*W$55*$K$7</f>
        <v>1426</v>
      </c>
      <c r="X66" s="14">
        <f>C11*X$55*$K$7</f>
        <v>240.9</v>
      </c>
      <c r="Y66" s="14">
        <f>D11*Y$55*$K$7</f>
        <v>225.68000000000004</v>
      </c>
      <c r="Z66" s="14">
        <f>E11*Z$55*$K$7</f>
        <v>29.76</v>
      </c>
      <c r="AA66" s="13"/>
      <c r="AB66" s="14">
        <f>B11*AB$55*$K$7</f>
        <v>2709.4</v>
      </c>
      <c r="AC66" s="14">
        <f>C11*AC$55*$K$7</f>
        <v>438</v>
      </c>
      <c r="AD66" s="14">
        <f>D11*AD$55*$K$7</f>
        <v>257.92</v>
      </c>
      <c r="AE66" s="14">
        <f>E11*AE$55*$K$7</f>
        <v>41.85</v>
      </c>
      <c r="AF66" s="13"/>
      <c r="AG66" s="14">
        <f>B11*AG$55*$K$7</f>
        <v>1283.3999999999999</v>
      </c>
      <c r="AH66" s="14">
        <f>C11*AH$55*$K$7</f>
        <v>131.4</v>
      </c>
      <c r="AI66" s="14">
        <f>D11*AI$55*$K$7</f>
        <v>64.48</v>
      </c>
      <c r="AJ66" s="14">
        <f>E11*AJ$55*$K$7</f>
        <v>11.16</v>
      </c>
      <c r="AK66" s="13"/>
      <c r="AL66" s="14">
        <f>B11*AL$55</f>
        <v>7130</v>
      </c>
      <c r="AM66" s="14">
        <f>C11*AM$55</f>
        <v>1095</v>
      </c>
      <c r="AN66" s="14">
        <f>D11*AN$55</f>
        <v>806</v>
      </c>
      <c r="AO66" s="14">
        <f>E11*AO$55</f>
        <v>93</v>
      </c>
      <c r="AP66" s="13"/>
      <c r="AQ66" s="13"/>
      <c r="AR66" s="13"/>
    </row>
    <row r="67" spans="1:44" x14ac:dyDescent="0.15">
      <c r="A67" s="13"/>
      <c r="B67" s="13"/>
      <c r="C67" s="13"/>
      <c r="D67" s="13"/>
      <c r="E67" s="13"/>
      <c r="F67" s="13"/>
      <c r="G67" s="13"/>
      <c r="H67" s="23">
        <v>0.2</v>
      </c>
      <c r="I67" s="23">
        <v>0.16</v>
      </c>
      <c r="J67" s="23">
        <v>0.14000000000000001</v>
      </c>
      <c r="K67" s="23">
        <v>0.18</v>
      </c>
      <c r="L67" s="13"/>
      <c r="M67" s="25">
        <v>0.24</v>
      </c>
      <c r="N67" s="25">
        <v>0.26</v>
      </c>
      <c r="O67" s="25">
        <v>0.32</v>
      </c>
      <c r="P67" s="25">
        <v>0.36</v>
      </c>
      <c r="Q67" s="13"/>
      <c r="R67" s="27">
        <v>0.4</v>
      </c>
      <c r="S67" s="27">
        <v>0.42</v>
      </c>
      <c r="T67" s="27">
        <v>0.36</v>
      </c>
      <c r="U67" s="27">
        <v>0.46</v>
      </c>
      <c r="V67" s="13"/>
      <c r="W67" s="25">
        <v>0.18</v>
      </c>
      <c r="X67" s="25">
        <v>0.2</v>
      </c>
      <c r="Y67" s="25">
        <v>0.22</v>
      </c>
      <c r="Z67" s="25">
        <v>0.24</v>
      </c>
      <c r="AA67" s="13"/>
      <c r="AB67" s="27">
        <v>0.3</v>
      </c>
      <c r="AC67" s="27">
        <v>0.32</v>
      </c>
      <c r="AD67" s="27">
        <v>0.26</v>
      </c>
      <c r="AE67" s="27">
        <v>0.34</v>
      </c>
      <c r="AF67" s="13"/>
      <c r="AG67" s="29">
        <v>0</v>
      </c>
      <c r="AH67" s="29">
        <v>0</v>
      </c>
      <c r="AI67" s="29">
        <v>0</v>
      </c>
      <c r="AJ67" s="29">
        <v>0</v>
      </c>
      <c r="AK67" s="13"/>
      <c r="AL67" s="31">
        <v>0</v>
      </c>
      <c r="AM67" s="31">
        <v>0</v>
      </c>
      <c r="AN67" s="31">
        <v>0</v>
      </c>
      <c r="AO67" s="31">
        <v>0</v>
      </c>
      <c r="AP67" s="13"/>
      <c r="AQ67" s="33" t="s">
        <v>105</v>
      </c>
      <c r="AR67" s="33"/>
    </row>
    <row r="68" spans="1:44" ht="14" x14ac:dyDescent="0.15">
      <c r="A68" s="37" t="s">
        <v>127</v>
      </c>
      <c r="B68" s="37"/>
      <c r="C68" s="37"/>
      <c r="D68" s="37"/>
      <c r="E68" s="37"/>
      <c r="F68" s="37"/>
      <c r="G68" s="13"/>
      <c r="H68" s="24" t="s">
        <v>82</v>
      </c>
      <c r="I68" s="24"/>
      <c r="J68" s="24"/>
      <c r="K68" s="24"/>
      <c r="L68" s="13"/>
      <c r="M68" s="26" t="s">
        <v>83</v>
      </c>
      <c r="N68" s="26"/>
      <c r="O68" s="26"/>
      <c r="P68" s="26"/>
      <c r="Q68" s="13"/>
      <c r="R68" s="28" t="s">
        <v>84</v>
      </c>
      <c r="S68" s="28"/>
      <c r="T68" s="28"/>
      <c r="U68" s="28"/>
      <c r="V68" s="13"/>
      <c r="W68" s="26" t="s">
        <v>85</v>
      </c>
      <c r="X68" s="26"/>
      <c r="Y68" s="26"/>
      <c r="Z68" s="26"/>
      <c r="AA68" s="13"/>
      <c r="AB68" s="28" t="s">
        <v>86</v>
      </c>
      <c r="AC68" s="28"/>
      <c r="AD68" s="28"/>
      <c r="AE68" s="28"/>
      <c r="AF68" s="13"/>
      <c r="AG68" s="30" t="s">
        <v>125</v>
      </c>
      <c r="AH68" s="30"/>
      <c r="AI68" s="30"/>
      <c r="AJ68" s="30"/>
      <c r="AK68" s="13"/>
      <c r="AL68" s="32" t="s">
        <v>126</v>
      </c>
      <c r="AM68" s="32"/>
      <c r="AN68" s="32"/>
      <c r="AO68" s="32"/>
      <c r="AP68" s="13"/>
      <c r="AQ68" s="13" t="s">
        <v>36</v>
      </c>
      <c r="AR68" s="34">
        <v>30</v>
      </c>
    </row>
    <row r="69" spans="1:44" x14ac:dyDescent="0.15">
      <c r="A69" s="17" t="s">
        <v>2</v>
      </c>
      <c r="B69" s="17" t="s">
        <v>3</v>
      </c>
      <c r="C69" s="17" t="s">
        <v>4</v>
      </c>
      <c r="D69" s="17" t="s">
        <v>5</v>
      </c>
      <c r="E69" s="17" t="s">
        <v>6</v>
      </c>
      <c r="F69" s="17" t="s">
        <v>7</v>
      </c>
      <c r="G69" s="13"/>
      <c r="H69" s="17" t="s">
        <v>3</v>
      </c>
      <c r="I69" s="17" t="s">
        <v>4</v>
      </c>
      <c r="J69" s="17" t="s">
        <v>5</v>
      </c>
      <c r="K69" s="17" t="s">
        <v>6</v>
      </c>
      <c r="L69" s="13"/>
      <c r="M69" s="17" t="s">
        <v>3</v>
      </c>
      <c r="N69" s="17" t="s">
        <v>4</v>
      </c>
      <c r="O69" s="17" t="s">
        <v>5</v>
      </c>
      <c r="P69" s="17" t="s">
        <v>6</v>
      </c>
      <c r="Q69" s="13"/>
      <c r="R69" s="17" t="s">
        <v>3</v>
      </c>
      <c r="S69" s="17" t="s">
        <v>4</v>
      </c>
      <c r="T69" s="17" t="s">
        <v>5</v>
      </c>
      <c r="U69" s="17" t="s">
        <v>6</v>
      </c>
      <c r="V69" s="13"/>
      <c r="W69" s="17" t="s">
        <v>3</v>
      </c>
      <c r="X69" s="17" t="s">
        <v>4</v>
      </c>
      <c r="Y69" s="17" t="s">
        <v>5</v>
      </c>
      <c r="Z69" s="17" t="s">
        <v>6</v>
      </c>
      <c r="AA69" s="13"/>
      <c r="AB69" s="17" t="s">
        <v>3</v>
      </c>
      <c r="AC69" s="17" t="s">
        <v>4</v>
      </c>
      <c r="AD69" s="17" t="s">
        <v>5</v>
      </c>
      <c r="AE69" s="17" t="s">
        <v>6</v>
      </c>
      <c r="AF69" s="13"/>
      <c r="AG69" s="17" t="s">
        <v>3</v>
      </c>
      <c r="AH69" s="17" t="s">
        <v>4</v>
      </c>
      <c r="AI69" s="17" t="s">
        <v>5</v>
      </c>
      <c r="AJ69" s="17" t="s">
        <v>6</v>
      </c>
      <c r="AK69" s="13"/>
      <c r="AL69" s="17" t="s">
        <v>3</v>
      </c>
      <c r="AM69" s="17" t="s">
        <v>4</v>
      </c>
      <c r="AN69" s="17" t="s">
        <v>5</v>
      </c>
      <c r="AO69" s="17" t="s">
        <v>6</v>
      </c>
      <c r="AP69" s="13"/>
      <c r="AQ69" s="13" t="s">
        <v>91</v>
      </c>
      <c r="AR69" s="34">
        <v>25</v>
      </c>
    </row>
    <row r="70" spans="1:44" x14ac:dyDescent="0.15">
      <c r="A70" s="13" t="s">
        <v>14</v>
      </c>
      <c r="B70" s="14">
        <f>H70+M70+R70+W70+AB70+AG70+AL70</f>
        <v>7426.3200000000006</v>
      </c>
      <c r="C70" s="14">
        <f>I70+N70+S70+X70+AC70+AH70+AM70</f>
        <v>531.76</v>
      </c>
      <c r="D70" s="14">
        <f>J70+O70+T70+Y70+AD70+AI70+AN70</f>
        <v>130</v>
      </c>
      <c r="E70" s="14">
        <f>K70+P70+U70+Z70+AE70+AJ70+AO70</f>
        <v>48.98</v>
      </c>
      <c r="F70" s="19">
        <f>F3</f>
        <v>85</v>
      </c>
      <c r="G70" s="13"/>
      <c r="H70" s="14">
        <f>B3*H$67*$K$8</f>
        <v>1125.2</v>
      </c>
      <c r="I70" s="14">
        <f>C3*I$67*$K$8</f>
        <v>62.56</v>
      </c>
      <c r="J70" s="14">
        <f>D3*J$67*$K$8</f>
        <v>14.000000000000002</v>
      </c>
      <c r="K70" s="14">
        <f>E3*K$67*$K$8</f>
        <v>5.58</v>
      </c>
      <c r="L70" s="13"/>
      <c r="M70" s="14">
        <f>B3*M$67*$K$8</f>
        <v>1350.24</v>
      </c>
      <c r="N70" s="14">
        <f>C3*N$67*$K$8</f>
        <v>101.66</v>
      </c>
      <c r="O70" s="14">
        <f>D3*O$67*$K$8</f>
        <v>32</v>
      </c>
      <c r="P70" s="14">
        <f>E3*P$67*$K$8</f>
        <v>11.16</v>
      </c>
      <c r="Q70" s="13"/>
      <c r="R70" s="14">
        <f>B3*R$67*$K$8</f>
        <v>2250.4</v>
      </c>
      <c r="S70" s="14">
        <f>C3*S$67*$K$8</f>
        <v>164.22</v>
      </c>
      <c r="T70" s="14">
        <f>D3*T$67*$K$8</f>
        <v>36</v>
      </c>
      <c r="U70" s="14">
        <f>E3*U$67*$K$8</f>
        <v>14.26</v>
      </c>
      <c r="V70" s="13"/>
      <c r="W70" s="14">
        <f>B3*W$67*$K$8</f>
        <v>1012.68</v>
      </c>
      <c r="X70" s="14">
        <f>C3*X$67*$K$8</f>
        <v>78.2</v>
      </c>
      <c r="Y70" s="14">
        <f>D3*Y$67*$K$8</f>
        <v>22</v>
      </c>
      <c r="Z70" s="14">
        <f>E3*Z$67*$K$8</f>
        <v>7.4399999999999995</v>
      </c>
      <c r="AA70" s="13"/>
      <c r="AB70" s="14">
        <f>B3*AB$67*$K$8</f>
        <v>1687.8</v>
      </c>
      <c r="AC70" s="14">
        <f>C3*AC$67*$K$8</f>
        <v>125.12</v>
      </c>
      <c r="AD70" s="14">
        <f>D3*AD$67*$K$8</f>
        <v>26</v>
      </c>
      <c r="AE70" s="14">
        <f>E3*AE$67*$K$8</f>
        <v>10.540000000000001</v>
      </c>
      <c r="AF70" s="13"/>
      <c r="AG70" s="14">
        <f>B3*AG$67*$K$8</f>
        <v>0</v>
      </c>
      <c r="AH70" s="14">
        <f>C3*AH$67*$K$8</f>
        <v>0</v>
      </c>
      <c r="AI70" s="14">
        <f>D3*AI$67*$K$8</f>
        <v>0</v>
      </c>
      <c r="AJ70" s="14">
        <f>E3*AJ$67*$K$8</f>
        <v>0</v>
      </c>
      <c r="AK70" s="13"/>
      <c r="AL70" s="14">
        <f>B3*AL$67</f>
        <v>0</v>
      </c>
      <c r="AM70" s="14">
        <f>C3*AM$67</f>
        <v>0</v>
      </c>
      <c r="AN70" s="14">
        <f>D3*AN$67</f>
        <v>0</v>
      </c>
      <c r="AO70" s="14">
        <f>E3*AO$67</f>
        <v>0</v>
      </c>
      <c r="AP70" s="13"/>
      <c r="AQ70" s="13" t="s">
        <v>92</v>
      </c>
      <c r="AR70" s="34">
        <v>55</v>
      </c>
    </row>
    <row r="71" spans="1:44" x14ac:dyDescent="0.15">
      <c r="A71" s="13" t="s">
        <v>15</v>
      </c>
      <c r="B71" s="14">
        <f>H71+M71+R71+W71+AB71+AG71+AL71</f>
        <v>7242.84</v>
      </c>
      <c r="C71" s="14">
        <f>I71+N71+S71+X71+AC71+AH71+AM71</f>
        <v>495.04</v>
      </c>
      <c r="D71" s="14">
        <f>J71+O71+T71+Y71+AD71+AI71+AN71</f>
        <v>182.00000000000003</v>
      </c>
      <c r="E71" s="14">
        <f>K71+P71+U71+Z71+AE71+AJ71+AO71</f>
        <v>47.400000000000006</v>
      </c>
      <c r="F71" s="19">
        <f>F4</f>
        <v>81</v>
      </c>
      <c r="G71" s="13"/>
      <c r="H71" s="14">
        <f>B4*H$67*$K$8</f>
        <v>1097.4000000000001</v>
      </c>
      <c r="I71" s="14">
        <f>C4*I$67*$K$8</f>
        <v>58.24</v>
      </c>
      <c r="J71" s="14">
        <f>D4*J$67*$K$8</f>
        <v>19.600000000000001</v>
      </c>
      <c r="K71" s="14">
        <f>E4*K$67*$K$8</f>
        <v>5.3999999999999995</v>
      </c>
      <c r="L71" s="13"/>
      <c r="M71" s="14">
        <f>B4*M$67*$K$8</f>
        <v>1316.8799999999999</v>
      </c>
      <c r="N71" s="14">
        <f>C4*N$67*$K$8</f>
        <v>94.64</v>
      </c>
      <c r="O71" s="14">
        <f>D4*O$67*$K$8</f>
        <v>44.800000000000004</v>
      </c>
      <c r="P71" s="14">
        <f>E4*P$67*$K$8</f>
        <v>10.799999999999999</v>
      </c>
      <c r="Q71" s="13"/>
      <c r="R71" s="14">
        <f>B4*R$67*$K$8</f>
        <v>2194.8000000000002</v>
      </c>
      <c r="S71" s="14">
        <f>C4*S$67*$K$8</f>
        <v>152.88</v>
      </c>
      <c r="T71" s="14">
        <f>D4*T$67*$K$8</f>
        <v>50.4</v>
      </c>
      <c r="U71" s="14">
        <f>E4*U$67*$K$8</f>
        <v>13.8</v>
      </c>
      <c r="V71" s="13"/>
      <c r="W71" s="14">
        <f>B4*W$67*$K$8</f>
        <v>987.66</v>
      </c>
      <c r="X71" s="14">
        <f>C4*X$67*$K$8</f>
        <v>72.8</v>
      </c>
      <c r="Y71" s="14">
        <f>D4*Y$67*$K$8</f>
        <v>30.8</v>
      </c>
      <c r="Z71" s="14">
        <f>E4*Z$67*$K$8</f>
        <v>7.1999999999999993</v>
      </c>
      <c r="AA71" s="13"/>
      <c r="AB71" s="14">
        <f>B4*AB$67*$K$8</f>
        <v>1646.1</v>
      </c>
      <c r="AC71" s="14">
        <f>C4*AC$67*$K$8</f>
        <v>116.48</v>
      </c>
      <c r="AD71" s="14">
        <f>D4*AD$67*$K$8</f>
        <v>36.4</v>
      </c>
      <c r="AE71" s="14">
        <f>E4*AE$67*$K$8</f>
        <v>10.200000000000001</v>
      </c>
      <c r="AF71" s="13"/>
      <c r="AG71" s="14">
        <f>B4*AG$67*$K$8</f>
        <v>0</v>
      </c>
      <c r="AH71" s="14">
        <f>C4*AH$67*$K$8</f>
        <v>0</v>
      </c>
      <c r="AI71" s="14">
        <f>D4*AI$67*$K$8</f>
        <v>0</v>
      </c>
      <c r="AJ71" s="14">
        <f>E4*AJ$67*$K$8</f>
        <v>0</v>
      </c>
      <c r="AK71" s="13"/>
      <c r="AL71" s="14">
        <f>B4*AL$67</f>
        <v>0</v>
      </c>
      <c r="AM71" s="14">
        <f>C4*AM$67</f>
        <v>0</v>
      </c>
      <c r="AN71" s="14">
        <f>D4*AN$67</f>
        <v>0</v>
      </c>
      <c r="AO71" s="14">
        <f>E4*AO$67</f>
        <v>0</v>
      </c>
      <c r="AP71" s="13"/>
      <c r="AQ71" s="13" t="s">
        <v>93</v>
      </c>
      <c r="AR71" s="34">
        <v>20</v>
      </c>
    </row>
    <row r="72" spans="1:44" x14ac:dyDescent="0.15">
      <c r="A72" s="13" t="s">
        <v>18</v>
      </c>
      <c r="B72" s="14">
        <f>H72+M72+R72+W72+AB72+AG72+AL72</f>
        <v>8327.880000000001</v>
      </c>
      <c r="C72" s="14">
        <f>I72+N72+S72+X72+AC72+AH72+AM72</f>
        <v>765.68</v>
      </c>
      <c r="D72" s="14">
        <f>J72+O72+T72+Y72+AD72+AI72+AN72</f>
        <v>369.20000000000005</v>
      </c>
      <c r="E72" s="14">
        <f>K72+P72+U72+Z72+AE72+AJ72+AO72</f>
        <v>83.74</v>
      </c>
      <c r="F72" s="19">
        <f>F5</f>
        <v>103</v>
      </c>
      <c r="G72" s="13"/>
      <c r="H72" s="14">
        <f>B5*H$67*$K$8</f>
        <v>1261.8000000000002</v>
      </c>
      <c r="I72" s="14">
        <f>C5*I$67*$K$8</f>
        <v>90.08</v>
      </c>
      <c r="J72" s="14">
        <f>D5*J$67*$K$8</f>
        <v>39.760000000000005</v>
      </c>
      <c r="K72" s="14">
        <f>E5*K$67*$K$8</f>
        <v>9.5399999999999991</v>
      </c>
      <c r="L72" s="13"/>
      <c r="M72" s="14">
        <f>B5*M$67*$K$8</f>
        <v>1514.1599999999999</v>
      </c>
      <c r="N72" s="14">
        <f>C5*N$67*$K$8</f>
        <v>146.38</v>
      </c>
      <c r="O72" s="14">
        <f>D5*O$67*$K$8</f>
        <v>90.88</v>
      </c>
      <c r="P72" s="14">
        <f>E5*P$67*$K$8</f>
        <v>19.079999999999998</v>
      </c>
      <c r="Q72" s="13"/>
      <c r="R72" s="14">
        <f>B5*R$67*$K$8</f>
        <v>2523.6000000000004</v>
      </c>
      <c r="S72" s="14">
        <f>C5*S$67*$K$8</f>
        <v>236.45999999999998</v>
      </c>
      <c r="T72" s="14">
        <f>D5*T$67*$K$8</f>
        <v>102.24</v>
      </c>
      <c r="U72" s="14">
        <f>E5*U$67*$K$8</f>
        <v>24.380000000000003</v>
      </c>
      <c r="V72" s="13"/>
      <c r="W72" s="14">
        <f>B5*W$67*$K$8</f>
        <v>1135.6199999999999</v>
      </c>
      <c r="X72" s="14">
        <f>C5*X$67*$K$8</f>
        <v>112.60000000000001</v>
      </c>
      <c r="Y72" s="14">
        <f>D5*Y$67*$K$8</f>
        <v>62.48</v>
      </c>
      <c r="Z72" s="14">
        <f>E5*Z$67*$K$8</f>
        <v>12.719999999999999</v>
      </c>
      <c r="AA72" s="13"/>
      <c r="AB72" s="14">
        <f>B5*AB$67*$K$8</f>
        <v>1892.6999999999998</v>
      </c>
      <c r="AC72" s="14">
        <f>C5*AC$67*$K$8</f>
        <v>180.16</v>
      </c>
      <c r="AD72" s="14">
        <f>D5*AD$67*$K$8</f>
        <v>73.84</v>
      </c>
      <c r="AE72" s="14">
        <f>E5*AE$67*$K$8</f>
        <v>18.02</v>
      </c>
      <c r="AF72" s="13"/>
      <c r="AG72" s="14">
        <f>B5*AG$67*$K$8</f>
        <v>0</v>
      </c>
      <c r="AH72" s="14">
        <f>C5*AH$67*$K$8</f>
        <v>0</v>
      </c>
      <c r="AI72" s="14">
        <f>D5*AI$67*$K$8</f>
        <v>0</v>
      </c>
      <c r="AJ72" s="14">
        <f>E5*AJ$67*$K$8</f>
        <v>0</v>
      </c>
      <c r="AK72" s="13"/>
      <c r="AL72" s="14">
        <f>B5*AL$67</f>
        <v>0</v>
      </c>
      <c r="AM72" s="14">
        <f>C5*AM$67</f>
        <v>0</v>
      </c>
      <c r="AN72" s="14">
        <f>D5*AN$67</f>
        <v>0</v>
      </c>
      <c r="AO72" s="14">
        <f>E5*AO$67</f>
        <v>0</v>
      </c>
      <c r="AP72" s="13"/>
      <c r="AQ72" s="13" t="s">
        <v>94</v>
      </c>
      <c r="AR72" s="34">
        <v>45</v>
      </c>
    </row>
    <row r="73" spans="1:44" x14ac:dyDescent="0.15">
      <c r="A73" s="13" t="s">
        <v>20</v>
      </c>
      <c r="B73" s="14">
        <f>H73+M73+R73+W73+AB73+AG73+AL73</f>
        <v>8446.68</v>
      </c>
      <c r="C73" s="14">
        <f>I73+N73+S73+X73+AC73+AH73+AM73</f>
        <v>949.28</v>
      </c>
      <c r="D73" s="14">
        <f>J73+O73+T73+Y73+AD73+AI73+AN73</f>
        <v>462.79999999999995</v>
      </c>
      <c r="E73" s="14">
        <f>K73+P73+U73+Z73+AE73+AJ73+AO73</f>
        <v>112.17999999999999</v>
      </c>
      <c r="F73" s="19">
        <f>F6</f>
        <v>106</v>
      </c>
      <c r="G73" s="13"/>
      <c r="H73" s="14">
        <f>B6*H$67*$K$8</f>
        <v>1279.8000000000002</v>
      </c>
      <c r="I73" s="14">
        <f>C6*I$67*$K$8</f>
        <v>111.68</v>
      </c>
      <c r="J73" s="14">
        <f>D6*J$67*$K$8</f>
        <v>49.84</v>
      </c>
      <c r="K73" s="14">
        <f>E6*K$67*$K$8</f>
        <v>12.78</v>
      </c>
      <c r="L73" s="13"/>
      <c r="M73" s="14">
        <f>B6*M$67*$K$8</f>
        <v>1535.76</v>
      </c>
      <c r="N73" s="14">
        <f>C6*N$67*$K$8</f>
        <v>181.48000000000002</v>
      </c>
      <c r="O73" s="14">
        <f>D6*O$67*$K$8</f>
        <v>113.92</v>
      </c>
      <c r="P73" s="14">
        <f>E6*P$67*$K$8</f>
        <v>25.56</v>
      </c>
      <c r="Q73" s="13"/>
      <c r="R73" s="14">
        <f>B6*R$67*$K$8</f>
        <v>2559.6000000000004</v>
      </c>
      <c r="S73" s="14">
        <f>C6*S$67*$K$8</f>
        <v>293.15999999999997</v>
      </c>
      <c r="T73" s="14">
        <f>D6*T$67*$K$8</f>
        <v>128.16</v>
      </c>
      <c r="U73" s="14">
        <f>E6*U$67*$K$8</f>
        <v>32.660000000000004</v>
      </c>
      <c r="V73" s="13"/>
      <c r="W73" s="14">
        <f>B6*W$67*$K$8</f>
        <v>1151.82</v>
      </c>
      <c r="X73" s="14">
        <f>C6*X$67*$K$8</f>
        <v>139.6</v>
      </c>
      <c r="Y73" s="14">
        <f>D6*Y$67*$K$8</f>
        <v>78.320000000000007</v>
      </c>
      <c r="Z73" s="14">
        <f>E6*Z$67*$K$8</f>
        <v>17.04</v>
      </c>
      <c r="AA73" s="13"/>
      <c r="AB73" s="14">
        <f>B6*AB$67*$K$8</f>
        <v>1919.6999999999998</v>
      </c>
      <c r="AC73" s="14">
        <f>C6*AC$67*$K$8</f>
        <v>223.36</v>
      </c>
      <c r="AD73" s="14">
        <f>D6*AD$67*$K$8</f>
        <v>92.56</v>
      </c>
      <c r="AE73" s="14">
        <f>E6*AE$67*$K$8</f>
        <v>24.14</v>
      </c>
      <c r="AF73" s="13"/>
      <c r="AG73" s="14">
        <f>B6*AG$67*$K$8</f>
        <v>0</v>
      </c>
      <c r="AH73" s="14">
        <f>C6*AH$67*$K$8</f>
        <v>0</v>
      </c>
      <c r="AI73" s="14">
        <f>D6*AI$67*$K$8</f>
        <v>0</v>
      </c>
      <c r="AJ73" s="14">
        <f>E6*AJ$67*$K$8</f>
        <v>0</v>
      </c>
      <c r="AK73" s="13"/>
      <c r="AL73" s="14">
        <f>B6*AL$67</f>
        <v>0</v>
      </c>
      <c r="AM73" s="14">
        <f>C6*AM$67</f>
        <v>0</v>
      </c>
      <c r="AN73" s="14">
        <f>D6*AN$67</f>
        <v>0</v>
      </c>
      <c r="AO73" s="14">
        <f>E6*AO$67</f>
        <v>0</v>
      </c>
      <c r="AP73" s="13"/>
      <c r="AQ73" s="13" t="s">
        <v>39</v>
      </c>
      <c r="AR73" s="34">
        <v>0</v>
      </c>
    </row>
    <row r="74" spans="1:44" x14ac:dyDescent="0.15">
      <c r="A74" s="13" t="s">
        <v>22</v>
      </c>
      <c r="B74" s="14">
        <f>H74+M74+R74+W74+AB74+AG74+AL74</f>
        <v>8558.880000000001</v>
      </c>
      <c r="C74" s="14">
        <f>I74+N74+S74+X74+AC74+AH74+AM74</f>
        <v>1622.48</v>
      </c>
      <c r="D74" s="14">
        <f>J74+O74+T74+Y74+AD74+AI74+AN74</f>
        <v>1064.7</v>
      </c>
      <c r="E74" s="14">
        <f>K74+P74+U74+Z74+AE74+AJ74+AO74</f>
        <v>161.16</v>
      </c>
      <c r="F74" s="19">
        <f>F7</f>
        <v>106</v>
      </c>
      <c r="G74" s="13"/>
      <c r="H74" s="14">
        <f>B7*H$67*$K$8</f>
        <v>1296.8000000000002</v>
      </c>
      <c r="I74" s="14">
        <f>C7*I$67*$K$8</f>
        <v>190.88</v>
      </c>
      <c r="J74" s="14">
        <f>D7*J$67*$K$8</f>
        <v>114.66000000000001</v>
      </c>
      <c r="K74" s="14">
        <f>E7*K$67*$K$8</f>
        <v>18.36</v>
      </c>
      <c r="L74" s="13"/>
      <c r="M74" s="14">
        <f>B7*M$67*$K$8</f>
        <v>1556.1599999999999</v>
      </c>
      <c r="N74" s="14">
        <f>C7*N$67*$K$8</f>
        <v>310.18</v>
      </c>
      <c r="O74" s="14">
        <f>D7*O$67*$K$8</f>
        <v>262.08</v>
      </c>
      <c r="P74" s="14">
        <f>E7*P$67*$K$8</f>
        <v>36.72</v>
      </c>
      <c r="Q74" s="13"/>
      <c r="R74" s="14">
        <f>B7*R$67*$K$8</f>
        <v>2593.6000000000004</v>
      </c>
      <c r="S74" s="14">
        <f>C7*S$67*$K$8</f>
        <v>501.06</v>
      </c>
      <c r="T74" s="14">
        <f>D7*T$67*$K$8</f>
        <v>294.83999999999997</v>
      </c>
      <c r="U74" s="14">
        <f>E7*U$67*$K$8</f>
        <v>46.92</v>
      </c>
      <c r="V74" s="13"/>
      <c r="W74" s="14">
        <f>B7*W$67*$K$8</f>
        <v>1167.1199999999999</v>
      </c>
      <c r="X74" s="14">
        <f>C7*X$67*$K$8</f>
        <v>238.60000000000002</v>
      </c>
      <c r="Y74" s="14">
        <f>D7*Y$67*$K$8</f>
        <v>180.18</v>
      </c>
      <c r="Z74" s="14">
        <f>E7*Z$67*$K$8</f>
        <v>24.48</v>
      </c>
      <c r="AA74" s="13"/>
      <c r="AB74" s="14">
        <f>B7*AB$67*$K$8</f>
        <v>1945.1999999999998</v>
      </c>
      <c r="AC74" s="14">
        <f>C7*AC$67*$K$8</f>
        <v>381.76</v>
      </c>
      <c r="AD74" s="14">
        <f>D7*AD$67*$K$8</f>
        <v>212.94</v>
      </c>
      <c r="AE74" s="14">
        <f>E7*AE$67*$K$8</f>
        <v>34.68</v>
      </c>
      <c r="AF74" s="13"/>
      <c r="AG74" s="14">
        <f>B7*AG$67*$K$8</f>
        <v>0</v>
      </c>
      <c r="AH74" s="14">
        <f>C7*AH$67*$K$8</f>
        <v>0</v>
      </c>
      <c r="AI74" s="14">
        <f>D7*AI$67*$K$8</f>
        <v>0</v>
      </c>
      <c r="AJ74" s="14">
        <f>E7*AJ$67*$K$8</f>
        <v>0</v>
      </c>
      <c r="AK74" s="13"/>
      <c r="AL74" s="14">
        <f>B7*AL$67</f>
        <v>0</v>
      </c>
      <c r="AM74" s="14">
        <f>C7*AM$67</f>
        <v>0</v>
      </c>
      <c r="AN74" s="14">
        <f>D7*AN$67</f>
        <v>0</v>
      </c>
      <c r="AO74" s="14">
        <f>E7*AO$67</f>
        <v>0</v>
      </c>
      <c r="AP74" s="13"/>
      <c r="AQ74" s="13" t="s">
        <v>45</v>
      </c>
      <c r="AR74" s="34">
        <v>0</v>
      </c>
    </row>
    <row r="75" spans="1:44" x14ac:dyDescent="0.15">
      <c r="A75" s="13" t="s">
        <v>24</v>
      </c>
      <c r="B75" s="14">
        <f>H75+M75+R75+W75+AB75+AG75+AL75</f>
        <v>7993.920000000001</v>
      </c>
      <c r="C75" s="14">
        <f>I75+N75+S75+X75+AC75+AH75+AM75</f>
        <v>898.96</v>
      </c>
      <c r="D75" s="14">
        <f>J75+O75+T75+Y75+AD75+AI75+AN75</f>
        <v>349.7</v>
      </c>
      <c r="E75" s="14">
        <f>K75+P75+U75+Z75+AE75+AJ75+AO75</f>
        <v>137.46</v>
      </c>
      <c r="F75" s="19">
        <f>F8</f>
        <v>95</v>
      </c>
      <c r="G75" s="13"/>
      <c r="H75" s="14">
        <f>B8*H$67*$K$8</f>
        <v>1211.2</v>
      </c>
      <c r="I75" s="14">
        <f>C8*I$67*$K$8</f>
        <v>105.76</v>
      </c>
      <c r="J75" s="14">
        <f>D8*J$67*$K$8</f>
        <v>37.660000000000004</v>
      </c>
      <c r="K75" s="14">
        <f>E8*K$67*$K$8</f>
        <v>15.66</v>
      </c>
      <c r="L75" s="13"/>
      <c r="M75" s="14">
        <f>B8*M$67*$K$8</f>
        <v>1453.44</v>
      </c>
      <c r="N75" s="14">
        <f>C8*N$67*$K$8</f>
        <v>171.86</v>
      </c>
      <c r="O75" s="14">
        <f>D8*O$67*$K$8</f>
        <v>86.08</v>
      </c>
      <c r="P75" s="14">
        <f>E8*P$67*$K$8</f>
        <v>31.32</v>
      </c>
      <c r="Q75" s="13"/>
      <c r="R75" s="14">
        <f>B8*R$67*$K$8</f>
        <v>2422.4</v>
      </c>
      <c r="S75" s="14">
        <f>C8*S$67*$K$8</f>
        <v>277.62</v>
      </c>
      <c r="T75" s="14">
        <f>D8*T$67*$K$8</f>
        <v>96.84</v>
      </c>
      <c r="U75" s="14">
        <f>E8*U$67*$K$8</f>
        <v>40.020000000000003</v>
      </c>
      <c r="V75" s="13"/>
      <c r="W75" s="14">
        <f>B8*W$67*$K$8</f>
        <v>1090.08</v>
      </c>
      <c r="X75" s="14">
        <f>C8*X$67*$K$8</f>
        <v>132.20000000000002</v>
      </c>
      <c r="Y75" s="14">
        <f>D8*Y$67*$K$8</f>
        <v>59.18</v>
      </c>
      <c r="Z75" s="14">
        <f>E8*Z$67*$K$8</f>
        <v>20.88</v>
      </c>
      <c r="AA75" s="13"/>
      <c r="AB75" s="14">
        <f>B8*AB$67*$K$8</f>
        <v>1816.8</v>
      </c>
      <c r="AC75" s="14">
        <f>C8*AC$67*$K$8</f>
        <v>211.52</v>
      </c>
      <c r="AD75" s="14">
        <f>D8*AD$67*$K$8</f>
        <v>69.94</v>
      </c>
      <c r="AE75" s="14">
        <f>E8*AE$67*$K$8</f>
        <v>29.580000000000002</v>
      </c>
      <c r="AF75" s="13"/>
      <c r="AG75" s="14">
        <f>B8*AG$67*$K$8</f>
        <v>0</v>
      </c>
      <c r="AH75" s="14">
        <f>C8*AH$67*$K$8</f>
        <v>0</v>
      </c>
      <c r="AI75" s="14">
        <f>D8*AI$67*$K$8</f>
        <v>0</v>
      </c>
      <c r="AJ75" s="14">
        <f>E8*AJ$67*$K$8</f>
        <v>0</v>
      </c>
      <c r="AK75" s="13"/>
      <c r="AL75" s="14">
        <f>B8*AL$67</f>
        <v>0</v>
      </c>
      <c r="AM75" s="14">
        <f>C8*AM$67</f>
        <v>0</v>
      </c>
      <c r="AN75" s="14">
        <f>D8*AN$67</f>
        <v>0</v>
      </c>
      <c r="AO75" s="14">
        <f>E8*AO$67</f>
        <v>0</v>
      </c>
      <c r="AP75" s="13"/>
      <c r="AQ75" s="15" t="s">
        <v>95</v>
      </c>
      <c r="AR75" s="35">
        <f>SUM(AR68:AR74)</f>
        <v>175</v>
      </c>
    </row>
    <row r="76" spans="1:44" x14ac:dyDescent="0.15">
      <c r="A76" s="13" t="s">
        <v>26</v>
      </c>
      <c r="B76" s="14">
        <f>H76+M76+R76+W76+AB76+AG76+AL76</f>
        <v>8919.24</v>
      </c>
      <c r="C76" s="14">
        <f>I76+N76+S76+X76+AC76+AH76+AM76</f>
        <v>1462</v>
      </c>
      <c r="D76" s="14">
        <f>J76+O76+T76+Y76+AD76+AI76+AN76</f>
        <v>952.9</v>
      </c>
      <c r="E76" s="14">
        <f>K76+P76+U76+Z76+AE76+AJ76+AO76</f>
        <v>178.54000000000002</v>
      </c>
      <c r="F76" s="19">
        <f>F9</f>
        <v>112</v>
      </c>
      <c r="G76" s="13"/>
      <c r="H76" s="14">
        <f>B9*H$67*$K$8</f>
        <v>1351.4</v>
      </c>
      <c r="I76" s="14">
        <f>C9*I$67*$K$8</f>
        <v>172</v>
      </c>
      <c r="J76" s="14">
        <f>D9*J$67*$K$8</f>
        <v>102.62</v>
      </c>
      <c r="K76" s="14">
        <f>E9*K$67*$K$8</f>
        <v>20.34</v>
      </c>
      <c r="L76" s="13"/>
      <c r="M76" s="14">
        <f>B9*M$67*$K$8</f>
        <v>1621.6799999999998</v>
      </c>
      <c r="N76" s="14">
        <f>C9*N$67*$K$8</f>
        <v>279.5</v>
      </c>
      <c r="O76" s="14">
        <f>D9*O$67*$K$8</f>
        <v>234.56</v>
      </c>
      <c r="P76" s="14">
        <f>E9*P$67*$K$8</f>
        <v>40.68</v>
      </c>
      <c r="Q76" s="13"/>
      <c r="R76" s="14">
        <f>B9*R$67*$K$8</f>
        <v>2702.8</v>
      </c>
      <c r="S76" s="14">
        <f>C9*S$67*$K$8</f>
        <v>451.5</v>
      </c>
      <c r="T76" s="14">
        <f>D9*T$67*$K$8</f>
        <v>263.88</v>
      </c>
      <c r="U76" s="14">
        <f>E9*U$67*$K$8</f>
        <v>51.980000000000004</v>
      </c>
      <c r="V76" s="13"/>
      <c r="W76" s="14">
        <f>B9*W$67*$K$8</f>
        <v>1216.26</v>
      </c>
      <c r="X76" s="14">
        <f>C9*X$67*$K$8</f>
        <v>215</v>
      </c>
      <c r="Y76" s="14">
        <f>D9*Y$67*$K$8</f>
        <v>161.26</v>
      </c>
      <c r="Z76" s="14">
        <f>E9*Z$67*$K$8</f>
        <v>27.119999999999997</v>
      </c>
      <c r="AA76" s="13"/>
      <c r="AB76" s="14">
        <f>B9*AB$67*$K$8</f>
        <v>2027.1</v>
      </c>
      <c r="AC76" s="14">
        <f>C9*AC$67*$K$8</f>
        <v>344</v>
      </c>
      <c r="AD76" s="14">
        <f>D9*AD$67*$K$8</f>
        <v>190.58</v>
      </c>
      <c r="AE76" s="14">
        <f>E9*AE$67*$K$8</f>
        <v>38.42</v>
      </c>
      <c r="AF76" s="13"/>
      <c r="AG76" s="14">
        <f>B9*AG$67*$K$8</f>
        <v>0</v>
      </c>
      <c r="AH76" s="14">
        <f>C9*AH$67*$K$8</f>
        <v>0</v>
      </c>
      <c r="AI76" s="14">
        <f>D9*AI$67*$K$8</f>
        <v>0</v>
      </c>
      <c r="AJ76" s="14">
        <f>E9*AJ$67*$K$8</f>
        <v>0</v>
      </c>
      <c r="AK76" s="13"/>
      <c r="AL76" s="14">
        <f>B9*AL$67</f>
        <v>0</v>
      </c>
      <c r="AM76" s="14">
        <f>C9*AM$67</f>
        <v>0</v>
      </c>
      <c r="AN76" s="14">
        <f>D9*AN$67</f>
        <v>0</v>
      </c>
      <c r="AO76" s="14">
        <f>E9*AO$67</f>
        <v>0</v>
      </c>
      <c r="AP76" s="13"/>
      <c r="AQ76" s="13"/>
      <c r="AR76" s="13"/>
    </row>
    <row r="77" spans="1:44" x14ac:dyDescent="0.15">
      <c r="A77" s="13" t="s">
        <v>28</v>
      </c>
      <c r="B77" s="14">
        <f>H77+M77+R77+W77+AB77+AG77+AL77</f>
        <v>9748.2000000000007</v>
      </c>
      <c r="C77" s="14">
        <f>I77+N77+S77+X77+AC77+AH77+AM77</f>
        <v>1755.7600000000002</v>
      </c>
      <c r="D77" s="14">
        <f>J77+O77+T77+Y77+AD77+AI77+AN77</f>
        <v>1344.1999999999998</v>
      </c>
      <c r="E77" s="14">
        <f>K77+P77+U77+Z77+AE77+AJ77+AO77</f>
        <v>165.89999999999998</v>
      </c>
      <c r="F77" s="19">
        <f>F10</f>
        <v>130</v>
      </c>
      <c r="G77" s="13"/>
      <c r="H77" s="14">
        <f>B10*H$67*$K$8</f>
        <v>1477</v>
      </c>
      <c r="I77" s="14">
        <f>C10*I$67*$K$8</f>
        <v>206.56</v>
      </c>
      <c r="J77" s="14">
        <f>D10*J$67*$K$8</f>
        <v>144.76000000000002</v>
      </c>
      <c r="K77" s="14">
        <f>E10*K$67*$K$8</f>
        <v>18.899999999999999</v>
      </c>
      <c r="L77" s="13"/>
      <c r="M77" s="14">
        <f>B10*M$67*$K$8</f>
        <v>1772.3999999999999</v>
      </c>
      <c r="N77" s="14">
        <f>C10*N$67*$K$8</f>
        <v>335.66</v>
      </c>
      <c r="O77" s="14">
        <f>D10*O$67*$K$8</f>
        <v>330.88</v>
      </c>
      <c r="P77" s="14">
        <f>E10*P$67*$K$8</f>
        <v>37.799999999999997</v>
      </c>
      <c r="Q77" s="13"/>
      <c r="R77" s="14">
        <f>B10*R$67*$K$8</f>
        <v>2954</v>
      </c>
      <c r="S77" s="14">
        <f>C10*S$67*$K$8</f>
        <v>542.22</v>
      </c>
      <c r="T77" s="14">
        <f>D10*T$67*$K$8</f>
        <v>372.24</v>
      </c>
      <c r="U77" s="14">
        <f>E10*U$67*$K$8</f>
        <v>48.300000000000004</v>
      </c>
      <c r="V77" s="13"/>
      <c r="W77" s="14">
        <f>B10*W$67*$K$8</f>
        <v>1329.3</v>
      </c>
      <c r="X77" s="14">
        <f>C10*X$67*$K$8</f>
        <v>258.2</v>
      </c>
      <c r="Y77" s="14">
        <f>D10*Y$67*$K$8</f>
        <v>227.48</v>
      </c>
      <c r="Z77" s="14">
        <f>E10*Z$67*$K$8</f>
        <v>25.2</v>
      </c>
      <c r="AA77" s="13"/>
      <c r="AB77" s="14">
        <f>B10*AB$67*$K$8</f>
        <v>2215.5</v>
      </c>
      <c r="AC77" s="14">
        <f>C10*AC$67*$K$8</f>
        <v>413.12</v>
      </c>
      <c r="AD77" s="14">
        <f>D10*AD$67*$K$8</f>
        <v>268.84000000000003</v>
      </c>
      <c r="AE77" s="14">
        <f>E10*AE$67*$K$8</f>
        <v>35.700000000000003</v>
      </c>
      <c r="AF77" s="13"/>
      <c r="AG77" s="14">
        <f>B10*AG$67*$K$8</f>
        <v>0</v>
      </c>
      <c r="AH77" s="14">
        <f>C10*AH$67*$K$8</f>
        <v>0</v>
      </c>
      <c r="AI77" s="14">
        <f>D10*AI$67*$K$8</f>
        <v>0</v>
      </c>
      <c r="AJ77" s="14">
        <f>E10*AJ$67*$K$8</f>
        <v>0</v>
      </c>
      <c r="AK77" s="13"/>
      <c r="AL77" s="14">
        <f>B10*AL$67</f>
        <v>0</v>
      </c>
      <c r="AM77" s="14">
        <f>C10*AM$67</f>
        <v>0</v>
      </c>
      <c r="AN77" s="14">
        <f>D10*AN$67</f>
        <v>0</v>
      </c>
      <c r="AO77" s="14">
        <f>E10*AO$67</f>
        <v>0</v>
      </c>
      <c r="AP77" s="13"/>
      <c r="AQ77" s="13"/>
      <c r="AR77" s="13"/>
    </row>
    <row r="78" spans="1:44" x14ac:dyDescent="0.15">
      <c r="A78" s="13" t="s">
        <v>30</v>
      </c>
      <c r="B78" s="14">
        <f>H78+M78+R78+W78+AB78+AG78+AL78</f>
        <v>9411.5999999999985</v>
      </c>
      <c r="C78" s="14">
        <f>I78+N78+S78+X78+AC78+AH78+AM78</f>
        <v>1489.2</v>
      </c>
      <c r="D78" s="14">
        <f>J78+O78+T78+Y78+AD78+AI78+AN78</f>
        <v>1047.8</v>
      </c>
      <c r="E78" s="14">
        <f>K78+P78+U78+Z78+AE78+AJ78+AO78</f>
        <v>146.94</v>
      </c>
      <c r="F78" s="19">
        <f>F11</f>
        <v>121</v>
      </c>
      <c r="G78" s="13"/>
      <c r="H78" s="14">
        <f>B11*H$67*$K$8</f>
        <v>1426</v>
      </c>
      <c r="I78" s="14">
        <f>C11*I$67*$K$8</f>
        <v>175.20000000000002</v>
      </c>
      <c r="J78" s="14">
        <f>D11*J$67*$K$8</f>
        <v>112.84000000000002</v>
      </c>
      <c r="K78" s="14">
        <f>E11*K$67*$K$8</f>
        <v>16.739999999999998</v>
      </c>
      <c r="L78" s="13"/>
      <c r="M78" s="14">
        <f>B11*M$67*$K$8</f>
        <v>1711.2</v>
      </c>
      <c r="N78" s="14">
        <f>C11*N$67*$K$8</f>
        <v>284.7</v>
      </c>
      <c r="O78" s="14">
        <f>D11*O$67*$K$8</f>
        <v>257.92</v>
      </c>
      <c r="P78" s="14">
        <f>E11*P$67*$K$8</f>
        <v>33.479999999999997</v>
      </c>
      <c r="Q78" s="13"/>
      <c r="R78" s="14">
        <f>B11*R$67*$K$8</f>
        <v>2852</v>
      </c>
      <c r="S78" s="14">
        <f>C11*S$67*$K$8</f>
        <v>459.9</v>
      </c>
      <c r="T78" s="14">
        <f>D11*T$67*$K$8</f>
        <v>290.15999999999997</v>
      </c>
      <c r="U78" s="14">
        <f>E11*U$67*$K$8</f>
        <v>42.78</v>
      </c>
      <c r="V78" s="13"/>
      <c r="W78" s="14">
        <f>B11*W$67*$K$8</f>
        <v>1283.3999999999999</v>
      </c>
      <c r="X78" s="14">
        <f>C11*X$67*$K$8</f>
        <v>219</v>
      </c>
      <c r="Y78" s="14">
        <f>D11*Y$67*$K$8</f>
        <v>177.32</v>
      </c>
      <c r="Z78" s="14">
        <f>E11*Z$67*$K$8</f>
        <v>22.32</v>
      </c>
      <c r="AA78" s="13"/>
      <c r="AB78" s="14">
        <f>B11*AB$67*$K$8</f>
        <v>2139</v>
      </c>
      <c r="AC78" s="14">
        <f>C11*AC$67*$K$8</f>
        <v>350.40000000000003</v>
      </c>
      <c r="AD78" s="14">
        <f>D11*AD$67*$K$8</f>
        <v>209.56</v>
      </c>
      <c r="AE78" s="14">
        <f>E11*AE$67*$K$8</f>
        <v>31.62</v>
      </c>
      <c r="AF78" s="13"/>
      <c r="AG78" s="14">
        <f>B11*AG$67*$K$8</f>
        <v>0</v>
      </c>
      <c r="AH78" s="14">
        <f>C11*AH$67*$K$8</f>
        <v>0</v>
      </c>
      <c r="AI78" s="14">
        <f>D11*AI$67*$K$8</f>
        <v>0</v>
      </c>
      <c r="AJ78" s="14">
        <f>E11*AJ$67*$K$8</f>
        <v>0</v>
      </c>
      <c r="AK78" s="13"/>
      <c r="AL78" s="14">
        <f>B11*AL$67</f>
        <v>0</v>
      </c>
      <c r="AM78" s="14">
        <f>C11*AM$67</f>
        <v>0</v>
      </c>
      <c r="AN78" s="14">
        <f>D11*AN$67</f>
        <v>0</v>
      </c>
      <c r="AO78" s="14">
        <f>E11*AO$67</f>
        <v>0</v>
      </c>
      <c r="AP78" s="13"/>
      <c r="AQ78" s="13"/>
      <c r="AR78" s="13"/>
    </row>
    <row r="79" spans="1:44" x14ac:dyDescent="0.15">
      <c r="A79" s="13"/>
      <c r="B79" s="13"/>
      <c r="C79" s="13"/>
      <c r="D79" s="13"/>
      <c r="E79" s="13"/>
      <c r="F79" s="13"/>
      <c r="G79" s="13"/>
      <c r="H79" s="23">
        <v>0.22</v>
      </c>
      <c r="I79" s="23">
        <v>0.18</v>
      </c>
      <c r="J79" s="23">
        <v>0.15</v>
      </c>
      <c r="K79" s="23">
        <v>0.2</v>
      </c>
      <c r="L79" s="13"/>
      <c r="M79" s="25">
        <v>0.25</v>
      </c>
      <c r="N79" s="25">
        <v>0.28000000000000003</v>
      </c>
      <c r="O79" s="25">
        <v>0.35</v>
      </c>
      <c r="P79" s="25">
        <v>0.4</v>
      </c>
      <c r="Q79" s="13"/>
      <c r="R79" s="27">
        <v>0.42</v>
      </c>
      <c r="S79" s="27">
        <v>0.45</v>
      </c>
      <c r="T79" s="27">
        <v>0.38</v>
      </c>
      <c r="U79" s="27">
        <v>0.5</v>
      </c>
      <c r="V79" s="13"/>
      <c r="W79" s="25">
        <v>0.2</v>
      </c>
      <c r="X79" s="25">
        <v>0.22</v>
      </c>
      <c r="Y79" s="25">
        <v>0.28000000000000003</v>
      </c>
      <c r="Z79" s="25">
        <v>0.32</v>
      </c>
      <c r="AA79" s="13"/>
      <c r="AB79" s="27">
        <v>0.38</v>
      </c>
      <c r="AC79" s="27">
        <v>0.4</v>
      </c>
      <c r="AD79" s="27">
        <v>0.32</v>
      </c>
      <c r="AE79" s="27">
        <v>0.45</v>
      </c>
      <c r="AF79" s="13"/>
      <c r="AG79" s="29">
        <v>0.18</v>
      </c>
      <c r="AH79" s="29">
        <v>0.12</v>
      </c>
      <c r="AI79" s="29">
        <v>0.08</v>
      </c>
      <c r="AJ79" s="29">
        <v>0.12</v>
      </c>
      <c r="AK79" s="13"/>
      <c r="AL79" s="31">
        <v>1</v>
      </c>
      <c r="AM79" s="31">
        <v>1</v>
      </c>
      <c r="AN79" s="31">
        <v>1</v>
      </c>
      <c r="AO79" s="31">
        <v>1</v>
      </c>
      <c r="AP79" s="13"/>
      <c r="AQ79" s="33" t="s">
        <v>108</v>
      </c>
      <c r="AR79" s="33"/>
    </row>
    <row r="80" spans="1:44" ht="14" x14ac:dyDescent="0.15">
      <c r="A80" s="22" t="s">
        <v>107</v>
      </c>
      <c r="B80" s="22"/>
      <c r="C80" s="22"/>
      <c r="D80" s="22"/>
      <c r="E80" s="22"/>
      <c r="F80" s="22"/>
      <c r="G80" s="13"/>
      <c r="H80" s="24" t="s">
        <v>82</v>
      </c>
      <c r="I80" s="24"/>
      <c r="J80" s="24"/>
      <c r="K80" s="24"/>
      <c r="L80" s="13"/>
      <c r="M80" s="26" t="s">
        <v>83</v>
      </c>
      <c r="N80" s="26"/>
      <c r="O80" s="26"/>
      <c r="P80" s="26"/>
      <c r="Q80" s="13"/>
      <c r="R80" s="28" t="s">
        <v>84</v>
      </c>
      <c r="S80" s="28"/>
      <c r="T80" s="28"/>
      <c r="U80" s="28"/>
      <c r="V80" s="13"/>
      <c r="W80" s="26" t="s">
        <v>85</v>
      </c>
      <c r="X80" s="26"/>
      <c r="Y80" s="26"/>
      <c r="Z80" s="26"/>
      <c r="AA80" s="13"/>
      <c r="AB80" s="28" t="s">
        <v>86</v>
      </c>
      <c r="AC80" s="28"/>
      <c r="AD80" s="28"/>
      <c r="AE80" s="28"/>
      <c r="AF80" s="13"/>
      <c r="AG80" s="30" t="s">
        <v>87</v>
      </c>
      <c r="AH80" s="30"/>
      <c r="AI80" s="30"/>
      <c r="AJ80" s="30"/>
      <c r="AK80" s="13"/>
      <c r="AL80" s="32" t="s">
        <v>106</v>
      </c>
      <c r="AM80" s="32"/>
      <c r="AN80" s="32"/>
      <c r="AO80" s="32"/>
      <c r="AP80" s="13"/>
      <c r="AQ80" s="13" t="s">
        <v>36</v>
      </c>
      <c r="AR80" s="34">
        <v>30</v>
      </c>
    </row>
    <row r="81" spans="1:44" x14ac:dyDescent="0.15">
      <c r="A81" s="17" t="s">
        <v>2</v>
      </c>
      <c r="B81" s="17" t="s">
        <v>3</v>
      </c>
      <c r="C81" s="17" t="s">
        <v>4</v>
      </c>
      <c r="D81" s="17" t="s">
        <v>5</v>
      </c>
      <c r="E81" s="17" t="s">
        <v>6</v>
      </c>
      <c r="F81" s="17" t="s">
        <v>7</v>
      </c>
      <c r="G81" s="13"/>
      <c r="H81" s="17" t="s">
        <v>3</v>
      </c>
      <c r="I81" s="17" t="s">
        <v>4</v>
      </c>
      <c r="J81" s="17" t="s">
        <v>5</v>
      </c>
      <c r="K81" s="17" t="s">
        <v>6</v>
      </c>
      <c r="L81" s="13"/>
      <c r="M81" s="17" t="s">
        <v>3</v>
      </c>
      <c r="N81" s="17" t="s">
        <v>4</v>
      </c>
      <c r="O81" s="17" t="s">
        <v>5</v>
      </c>
      <c r="P81" s="17" t="s">
        <v>6</v>
      </c>
      <c r="Q81" s="13"/>
      <c r="R81" s="17" t="s">
        <v>3</v>
      </c>
      <c r="S81" s="17" t="s">
        <v>4</v>
      </c>
      <c r="T81" s="17" t="s">
        <v>5</v>
      </c>
      <c r="U81" s="17" t="s">
        <v>6</v>
      </c>
      <c r="V81" s="13"/>
      <c r="W81" s="17" t="s">
        <v>3</v>
      </c>
      <c r="X81" s="17" t="s">
        <v>4</v>
      </c>
      <c r="Y81" s="17" t="s">
        <v>5</v>
      </c>
      <c r="Z81" s="17" t="s">
        <v>6</v>
      </c>
      <c r="AA81" s="13"/>
      <c r="AB81" s="17" t="s">
        <v>3</v>
      </c>
      <c r="AC81" s="17" t="s">
        <v>4</v>
      </c>
      <c r="AD81" s="17" t="s">
        <v>5</v>
      </c>
      <c r="AE81" s="17" t="s">
        <v>6</v>
      </c>
      <c r="AF81" s="13"/>
      <c r="AG81" s="17" t="s">
        <v>3</v>
      </c>
      <c r="AH81" s="17" t="s">
        <v>4</v>
      </c>
      <c r="AI81" s="17" t="s">
        <v>5</v>
      </c>
      <c r="AJ81" s="17" t="s">
        <v>6</v>
      </c>
      <c r="AK81" s="13"/>
      <c r="AL81" s="17" t="s">
        <v>3</v>
      </c>
      <c r="AM81" s="17" t="s">
        <v>4</v>
      </c>
      <c r="AN81" s="17" t="s">
        <v>5</v>
      </c>
      <c r="AO81" s="17" t="s">
        <v>6</v>
      </c>
      <c r="AP81" s="13"/>
      <c r="AQ81" s="13" t="s">
        <v>91</v>
      </c>
      <c r="AR81" s="34">
        <v>30</v>
      </c>
    </row>
    <row r="82" spans="1:44" x14ac:dyDescent="0.15">
      <c r="A82" s="13" t="s">
        <v>14</v>
      </c>
      <c r="B82" s="14">
        <f>H82+M82+R82+W82+AB82+AG82+AL82</f>
        <v>14908.900000000001</v>
      </c>
      <c r="C82" s="14">
        <f>I82+N82+S82+X82+AC82+AH82+AM82</f>
        <v>1036.1500000000001</v>
      </c>
      <c r="D82" s="14">
        <f>J82+O82+T82+Y82+AD82+AI82+AN82</f>
        <v>256</v>
      </c>
      <c r="E82" s="14">
        <f>K82+P82+U82+Z82+AE82+AJ82+AO82</f>
        <v>92.69</v>
      </c>
      <c r="F82" s="19">
        <f>F3</f>
        <v>85</v>
      </c>
      <c r="G82" s="13"/>
      <c r="H82" s="14">
        <f>B3*H$79*$K$9</f>
        <v>1237.72</v>
      </c>
      <c r="I82" s="14">
        <f>C3*I$79*$K$9</f>
        <v>70.38</v>
      </c>
      <c r="J82" s="14">
        <f>D3*J$79*$K$9</f>
        <v>15</v>
      </c>
      <c r="K82" s="14">
        <f>E3*K$79*$K$9</f>
        <v>6.2</v>
      </c>
      <c r="L82" s="13"/>
      <c r="M82" s="14">
        <f>B3*M$79*$K$9</f>
        <v>1406.5</v>
      </c>
      <c r="N82" s="14">
        <f>C3*N$79*$K$9</f>
        <v>109.48</v>
      </c>
      <c r="O82" s="14">
        <f>D3*O$79*$K$9</f>
        <v>35</v>
      </c>
      <c r="P82" s="14">
        <f>E3*P$79*$K$9</f>
        <v>12.4</v>
      </c>
      <c r="Q82" s="13"/>
      <c r="R82" s="14">
        <f>B3*R$79*$K$9</f>
        <v>2362.92</v>
      </c>
      <c r="S82" s="14">
        <f>C3*S$79*$K$9</f>
        <v>175.95000000000002</v>
      </c>
      <c r="T82" s="14">
        <f>D3*T$79*$K$9</f>
        <v>38</v>
      </c>
      <c r="U82" s="14">
        <f>E3*U$79*$K$9</f>
        <v>15.5</v>
      </c>
      <c r="V82" s="13"/>
      <c r="W82" s="14">
        <f>B3*W$79*$K$9</f>
        <v>1125.2</v>
      </c>
      <c r="X82" s="14">
        <f>C3*X$79*$K$9</f>
        <v>86.02</v>
      </c>
      <c r="Y82" s="14">
        <f>D3*Y$79*$K$9</f>
        <v>28.000000000000004</v>
      </c>
      <c r="Z82" s="14">
        <f>E3*Z$79*$K$9</f>
        <v>9.92</v>
      </c>
      <c r="AA82" s="13"/>
      <c r="AB82" s="14">
        <f>B3*AB$79*$K$9</f>
        <v>2137.88</v>
      </c>
      <c r="AC82" s="14">
        <f>C3*AC$79*$K$9</f>
        <v>156.4</v>
      </c>
      <c r="AD82" s="14">
        <f>D3*AD$79*$K$9</f>
        <v>32</v>
      </c>
      <c r="AE82" s="14">
        <f>E3*AE$79*$K$9</f>
        <v>13.950000000000001</v>
      </c>
      <c r="AF82" s="13"/>
      <c r="AG82" s="14">
        <f>B3*AG$79*$K$9</f>
        <v>1012.68</v>
      </c>
      <c r="AH82" s="14">
        <f>C3*AH$79*$K$9</f>
        <v>46.92</v>
      </c>
      <c r="AI82" s="14">
        <f>D3*AI$79*$K$9</f>
        <v>8</v>
      </c>
      <c r="AJ82" s="14">
        <f>E3*AJ$79*$K$9</f>
        <v>3.7199999999999998</v>
      </c>
      <c r="AK82" s="13"/>
      <c r="AL82" s="14">
        <f>B3*AL$79</f>
        <v>5626</v>
      </c>
      <c r="AM82" s="14">
        <f>C3*AM$79</f>
        <v>391</v>
      </c>
      <c r="AN82" s="14">
        <f>D3*AN$79</f>
        <v>100</v>
      </c>
      <c r="AO82" s="14">
        <f>E3*AO$79</f>
        <v>31</v>
      </c>
      <c r="AP82" s="13"/>
      <c r="AQ82" s="13" t="s">
        <v>92</v>
      </c>
      <c r="AR82" s="34">
        <v>60</v>
      </c>
    </row>
    <row r="83" spans="1:44" x14ac:dyDescent="0.15">
      <c r="A83" s="13" t="s">
        <v>15</v>
      </c>
      <c r="B83" s="14">
        <f>H83+M83+R83+W83+AB83+AG83+AL83</f>
        <v>14540.55</v>
      </c>
      <c r="C83" s="14">
        <f>I83+N83+S83+X83+AC83+AH83+AM83</f>
        <v>964.59999999999991</v>
      </c>
      <c r="D83" s="14">
        <f>J83+O83+T83+Y83+AD83+AI83+AN83</f>
        <v>358.4</v>
      </c>
      <c r="E83" s="14">
        <f>K83+P83+U83+Z83+AE83+AJ83+AO83</f>
        <v>89.7</v>
      </c>
      <c r="F83" s="19">
        <f>F4</f>
        <v>81</v>
      </c>
      <c r="G83" s="13"/>
      <c r="H83" s="14">
        <f>B4*H$79*$K$9</f>
        <v>1207.1400000000001</v>
      </c>
      <c r="I83" s="14">
        <f>C4*I$79*$K$9</f>
        <v>65.52</v>
      </c>
      <c r="J83" s="14">
        <f>D4*J$79*$K$9</f>
        <v>21</v>
      </c>
      <c r="K83" s="14">
        <f>E4*K$79*$K$9</f>
        <v>6</v>
      </c>
      <c r="L83" s="13"/>
      <c r="M83" s="14">
        <f>B4*M$79*$K$9</f>
        <v>1371.75</v>
      </c>
      <c r="N83" s="14">
        <f>C4*N$79*$K$9</f>
        <v>101.92000000000002</v>
      </c>
      <c r="O83" s="14">
        <f>D4*O$79*$K$9</f>
        <v>49</v>
      </c>
      <c r="P83" s="14">
        <f>E4*P$79*$K$9</f>
        <v>12</v>
      </c>
      <c r="Q83" s="13"/>
      <c r="R83" s="14">
        <f>B4*R$79*$K$9</f>
        <v>2304.54</v>
      </c>
      <c r="S83" s="14">
        <f>C4*S$79*$K$9</f>
        <v>163.80000000000001</v>
      </c>
      <c r="T83" s="14">
        <f>D4*T$79*$K$9</f>
        <v>53.2</v>
      </c>
      <c r="U83" s="14">
        <f>E4*U$79*$K$9</f>
        <v>15</v>
      </c>
      <c r="V83" s="13"/>
      <c r="W83" s="14">
        <f>B4*W$79*$K$9</f>
        <v>1097.4000000000001</v>
      </c>
      <c r="X83" s="14">
        <f>C4*X$79*$K$9</f>
        <v>80.08</v>
      </c>
      <c r="Y83" s="14">
        <f>D4*Y$79*$K$9</f>
        <v>39.200000000000003</v>
      </c>
      <c r="Z83" s="14">
        <f>E4*Z$79*$K$9</f>
        <v>9.6</v>
      </c>
      <c r="AA83" s="13"/>
      <c r="AB83" s="14">
        <f>B4*AB$79*$K$9</f>
        <v>2085.06</v>
      </c>
      <c r="AC83" s="14">
        <f>C4*AC$79*$K$9</f>
        <v>145.6</v>
      </c>
      <c r="AD83" s="14">
        <f>D4*AD$79*$K$9</f>
        <v>44.800000000000004</v>
      </c>
      <c r="AE83" s="14">
        <f>E4*AE$79*$K$9</f>
        <v>13.5</v>
      </c>
      <c r="AF83" s="13"/>
      <c r="AG83" s="14">
        <f>B4*AG$79*$K$9</f>
        <v>987.66</v>
      </c>
      <c r="AH83" s="14">
        <f>C4*AH$79*$K$9</f>
        <v>43.68</v>
      </c>
      <c r="AI83" s="14">
        <f>D4*AI$79*$K$9</f>
        <v>11.200000000000001</v>
      </c>
      <c r="AJ83" s="14">
        <f>E4*AJ$79*$K$9</f>
        <v>3.5999999999999996</v>
      </c>
      <c r="AK83" s="13"/>
      <c r="AL83" s="14">
        <f>B4*AL$79</f>
        <v>5487</v>
      </c>
      <c r="AM83" s="14">
        <f>C4*AM$79</f>
        <v>364</v>
      </c>
      <c r="AN83" s="14">
        <f>D4*AN$79</f>
        <v>140</v>
      </c>
      <c r="AO83" s="14">
        <f>E4*AO$79</f>
        <v>30</v>
      </c>
      <c r="AP83" s="13"/>
      <c r="AQ83" s="13" t="s">
        <v>93</v>
      </c>
      <c r="AR83" s="34">
        <v>25</v>
      </c>
    </row>
    <row r="84" spans="1:44" x14ac:dyDescent="0.15">
      <c r="A84" s="13" t="s">
        <v>18</v>
      </c>
      <c r="B84" s="14">
        <f>H84+M84+R84+W84+AB84+AG84+AL84</f>
        <v>16718.849999999999</v>
      </c>
      <c r="C84" s="14">
        <f>I84+N84+S84+X84+AC84+AH84+AM84</f>
        <v>1491.95</v>
      </c>
      <c r="D84" s="14">
        <f>J84+O84+T84+Y84+AD84+AI84+AN84</f>
        <v>727.04000000000008</v>
      </c>
      <c r="E84" s="14">
        <f>K84+P84+U84+Z84+AE84+AJ84+AO84</f>
        <v>158.47000000000003</v>
      </c>
      <c r="F84" s="19">
        <f>F5</f>
        <v>103</v>
      </c>
      <c r="G84" s="13"/>
      <c r="H84" s="14">
        <f>B5*H$79*$K$9</f>
        <v>1387.98</v>
      </c>
      <c r="I84" s="14">
        <f>C5*I$79*$K$9</f>
        <v>101.33999999999999</v>
      </c>
      <c r="J84" s="14">
        <f>D5*J$79*$K$9</f>
        <v>42.6</v>
      </c>
      <c r="K84" s="14">
        <f>E5*K$79*$K$9</f>
        <v>10.600000000000001</v>
      </c>
      <c r="L84" s="13"/>
      <c r="M84" s="14">
        <f>B5*M$79*$K$9</f>
        <v>1577.25</v>
      </c>
      <c r="N84" s="14">
        <f>C5*N$79*$K$9</f>
        <v>157.64000000000001</v>
      </c>
      <c r="O84" s="14">
        <f>D5*O$79*$K$9</f>
        <v>99.399999999999991</v>
      </c>
      <c r="P84" s="14">
        <f>E5*P$79*$K$9</f>
        <v>21.200000000000003</v>
      </c>
      <c r="Q84" s="13"/>
      <c r="R84" s="14">
        <f>B5*R$79*$K$9</f>
        <v>2649.7799999999997</v>
      </c>
      <c r="S84" s="14">
        <f>C5*S$79*$K$9</f>
        <v>253.35</v>
      </c>
      <c r="T84" s="14">
        <f>D5*T$79*$K$9</f>
        <v>107.92</v>
      </c>
      <c r="U84" s="14">
        <f>E5*U$79*$K$9</f>
        <v>26.5</v>
      </c>
      <c r="V84" s="13"/>
      <c r="W84" s="14">
        <f>B5*W$79*$K$9</f>
        <v>1261.8000000000002</v>
      </c>
      <c r="X84" s="14">
        <f>C5*X$79*$K$9</f>
        <v>123.86</v>
      </c>
      <c r="Y84" s="14">
        <f>D5*Y$79*$K$9</f>
        <v>79.52000000000001</v>
      </c>
      <c r="Z84" s="14">
        <f>E5*Z$79*$K$9</f>
        <v>16.96</v>
      </c>
      <c r="AA84" s="13"/>
      <c r="AB84" s="14">
        <f>B5*AB$79*$K$9</f>
        <v>2397.42</v>
      </c>
      <c r="AC84" s="14">
        <f>C5*AC$79*$K$9</f>
        <v>225.20000000000002</v>
      </c>
      <c r="AD84" s="14">
        <f>D5*AD$79*$K$9</f>
        <v>90.88</v>
      </c>
      <c r="AE84" s="14">
        <f>E5*AE$79*$K$9</f>
        <v>23.85</v>
      </c>
      <c r="AF84" s="13"/>
      <c r="AG84" s="14">
        <f>B5*AG$79*$K$9</f>
        <v>1135.6199999999999</v>
      </c>
      <c r="AH84" s="14">
        <f>C5*AH$79*$K$9</f>
        <v>67.56</v>
      </c>
      <c r="AI84" s="14">
        <f>D5*AI$79*$K$9</f>
        <v>22.72</v>
      </c>
      <c r="AJ84" s="14">
        <f>E5*AJ$79*$K$9</f>
        <v>6.3599999999999994</v>
      </c>
      <c r="AK84" s="13"/>
      <c r="AL84" s="14">
        <f>B5*AL$79</f>
        <v>6309</v>
      </c>
      <c r="AM84" s="14">
        <f>C5*AM$79</f>
        <v>563</v>
      </c>
      <c r="AN84" s="14">
        <f>D5*AN$79</f>
        <v>284</v>
      </c>
      <c r="AO84" s="14">
        <f>E5*AO$79</f>
        <v>53</v>
      </c>
      <c r="AP84" s="13"/>
      <c r="AQ84" s="13" t="s">
        <v>94</v>
      </c>
      <c r="AR84" s="34">
        <v>55</v>
      </c>
    </row>
    <row r="85" spans="1:44" x14ac:dyDescent="0.15">
      <c r="A85" s="13" t="s">
        <v>20</v>
      </c>
      <c r="B85" s="14">
        <f>H85+M85+R85+W85+AB85+AG85+AL85</f>
        <v>16957.349999999999</v>
      </c>
      <c r="C85" s="14">
        <f>I85+N85+S85+X85+AC85+AH85+AM85</f>
        <v>1849.7</v>
      </c>
      <c r="D85" s="14">
        <f>J85+O85+T85+Y85+AD85+AI85+AN85</f>
        <v>911.36</v>
      </c>
      <c r="E85" s="14">
        <f>K85+P85+U85+Z85+AE85+AJ85+AO85</f>
        <v>212.29</v>
      </c>
      <c r="F85" s="19">
        <f>F6</f>
        <v>106</v>
      </c>
      <c r="G85" s="13"/>
      <c r="H85" s="14">
        <f>B6*H$79*$K$9</f>
        <v>1407.78</v>
      </c>
      <c r="I85" s="14">
        <f>C6*I$79*$K$9</f>
        <v>125.64</v>
      </c>
      <c r="J85" s="14">
        <f>D6*J$79*$K$9</f>
        <v>53.4</v>
      </c>
      <c r="K85" s="14">
        <f>E6*K$79*$K$9</f>
        <v>14.200000000000001</v>
      </c>
      <c r="L85" s="13"/>
      <c r="M85" s="14">
        <f>B6*M$79*$K$9</f>
        <v>1599.75</v>
      </c>
      <c r="N85" s="14">
        <f>C6*N$79*$K$9</f>
        <v>195.44000000000003</v>
      </c>
      <c r="O85" s="14">
        <f>D6*O$79*$K$9</f>
        <v>124.6</v>
      </c>
      <c r="P85" s="14">
        <f>E6*P$79*$K$9</f>
        <v>28.400000000000002</v>
      </c>
      <c r="Q85" s="13"/>
      <c r="R85" s="14">
        <f>B6*R$79*$K$9</f>
        <v>2687.58</v>
      </c>
      <c r="S85" s="14">
        <f>C6*S$79*$K$9</f>
        <v>314.10000000000002</v>
      </c>
      <c r="T85" s="14">
        <f>D6*T$79*$K$9</f>
        <v>135.28</v>
      </c>
      <c r="U85" s="14">
        <f>E6*U$79*$K$9</f>
        <v>35.5</v>
      </c>
      <c r="V85" s="13"/>
      <c r="W85" s="14">
        <f>B6*W$79*$K$9</f>
        <v>1279.8000000000002</v>
      </c>
      <c r="X85" s="14">
        <f>C6*X$79*$K$9</f>
        <v>153.56</v>
      </c>
      <c r="Y85" s="14">
        <f>D6*Y$79*$K$9</f>
        <v>99.68</v>
      </c>
      <c r="Z85" s="14">
        <f>E6*Z$79*$K$9</f>
        <v>22.72</v>
      </c>
      <c r="AA85" s="13"/>
      <c r="AB85" s="14">
        <f>B6*AB$79*$K$9</f>
        <v>2431.62</v>
      </c>
      <c r="AC85" s="14">
        <f>C6*AC$79*$K$9</f>
        <v>279.2</v>
      </c>
      <c r="AD85" s="14">
        <f>D6*AD$79*$K$9</f>
        <v>113.92</v>
      </c>
      <c r="AE85" s="14">
        <f>E6*AE$79*$K$9</f>
        <v>31.95</v>
      </c>
      <c r="AF85" s="13"/>
      <c r="AG85" s="14">
        <f>B6*AG$79*$K$9</f>
        <v>1151.82</v>
      </c>
      <c r="AH85" s="14">
        <f>C6*AH$79*$K$9</f>
        <v>83.759999999999991</v>
      </c>
      <c r="AI85" s="14">
        <f>D6*AI$79*$K$9</f>
        <v>28.48</v>
      </c>
      <c r="AJ85" s="14">
        <f>E6*AJ$79*$K$9</f>
        <v>8.52</v>
      </c>
      <c r="AK85" s="13"/>
      <c r="AL85" s="14">
        <f>B6*AL$79</f>
        <v>6399</v>
      </c>
      <c r="AM85" s="14">
        <f>C6*AM$79</f>
        <v>698</v>
      </c>
      <c r="AN85" s="14">
        <f>D6*AN$79</f>
        <v>356</v>
      </c>
      <c r="AO85" s="14">
        <f>E6*AO$79</f>
        <v>71</v>
      </c>
      <c r="AP85" s="13"/>
      <c r="AQ85" s="13" t="s">
        <v>39</v>
      </c>
      <c r="AR85" s="34">
        <v>20</v>
      </c>
    </row>
    <row r="86" spans="1:44" x14ac:dyDescent="0.15">
      <c r="A86" s="13" t="s">
        <v>22</v>
      </c>
      <c r="B86" s="14">
        <f>H86+M86+R86+W86+AB86+AG86+AL86</f>
        <v>17182.599999999999</v>
      </c>
      <c r="C86" s="14">
        <f>I86+N86+S86+X86+AC86+AH86+AM86</f>
        <v>3161.4500000000003</v>
      </c>
      <c r="D86" s="14">
        <f>J86+O86+T86+Y86+AD86+AI86+AN86</f>
        <v>2096.6400000000003</v>
      </c>
      <c r="E86" s="14">
        <f>K86+P86+U86+Z86+AE86+AJ86+AO86</f>
        <v>304.98</v>
      </c>
      <c r="F86" s="19">
        <f>F7</f>
        <v>106</v>
      </c>
      <c r="G86" s="13"/>
      <c r="H86" s="14">
        <f>B7*H$79*$K$9</f>
        <v>1426.48</v>
      </c>
      <c r="I86" s="14">
        <f>C7*I$79*$K$9</f>
        <v>214.73999999999998</v>
      </c>
      <c r="J86" s="14">
        <f>D7*J$79*$K$9</f>
        <v>122.85</v>
      </c>
      <c r="K86" s="14">
        <f>E7*K$79*$K$9</f>
        <v>20.400000000000002</v>
      </c>
      <c r="L86" s="13"/>
      <c r="M86" s="14">
        <f>B7*M$79*$K$9</f>
        <v>1621</v>
      </c>
      <c r="N86" s="14">
        <f>C7*N$79*$K$9</f>
        <v>334.04</v>
      </c>
      <c r="O86" s="14">
        <f>D7*O$79*$K$9</f>
        <v>286.64999999999998</v>
      </c>
      <c r="P86" s="14">
        <f>E7*P$79*$K$9</f>
        <v>40.800000000000004</v>
      </c>
      <c r="Q86" s="13"/>
      <c r="R86" s="14">
        <f>B7*R$79*$K$9</f>
        <v>2723.2799999999997</v>
      </c>
      <c r="S86" s="14">
        <f>C7*S$79*$K$9</f>
        <v>536.85</v>
      </c>
      <c r="T86" s="14">
        <f>D7*T$79*$K$9</f>
        <v>311.22000000000003</v>
      </c>
      <c r="U86" s="14">
        <f>E7*U$79*$K$9</f>
        <v>51</v>
      </c>
      <c r="V86" s="13"/>
      <c r="W86" s="14">
        <f>B7*W$79*$K$9</f>
        <v>1296.8000000000002</v>
      </c>
      <c r="X86" s="14">
        <f>C7*X$79*$K$9</f>
        <v>262.45999999999998</v>
      </c>
      <c r="Y86" s="14">
        <f>D7*Y$79*$K$9</f>
        <v>229.32000000000002</v>
      </c>
      <c r="Z86" s="14">
        <f>E7*Z$79*$K$9</f>
        <v>32.64</v>
      </c>
      <c r="AA86" s="13"/>
      <c r="AB86" s="14">
        <f>B7*AB$79*$K$9</f>
        <v>2463.92</v>
      </c>
      <c r="AC86" s="14">
        <f>C7*AC$79*$K$9</f>
        <v>477.20000000000005</v>
      </c>
      <c r="AD86" s="14">
        <f>D7*AD$79*$K$9</f>
        <v>262.08</v>
      </c>
      <c r="AE86" s="14">
        <f>E7*AE$79*$K$9</f>
        <v>45.9</v>
      </c>
      <c r="AF86" s="13"/>
      <c r="AG86" s="14">
        <f>B7*AG$79*$K$9</f>
        <v>1167.1199999999999</v>
      </c>
      <c r="AH86" s="14">
        <f>C7*AH$79*$K$9</f>
        <v>143.16</v>
      </c>
      <c r="AI86" s="14">
        <f>D7*AI$79*$K$9</f>
        <v>65.52</v>
      </c>
      <c r="AJ86" s="14">
        <f>E7*AJ$79*$K$9</f>
        <v>12.24</v>
      </c>
      <c r="AK86" s="13"/>
      <c r="AL86" s="14">
        <f>B7*AL$79</f>
        <v>6484</v>
      </c>
      <c r="AM86" s="14">
        <f>C7*AM$79</f>
        <v>1193</v>
      </c>
      <c r="AN86" s="14">
        <f>D7*AN$79</f>
        <v>819</v>
      </c>
      <c r="AO86" s="14">
        <f>E7*AO$79</f>
        <v>102</v>
      </c>
      <c r="AP86" s="13"/>
      <c r="AQ86" s="13" t="s">
        <v>45</v>
      </c>
      <c r="AR86" s="34">
        <v>80</v>
      </c>
    </row>
    <row r="87" spans="1:44" x14ac:dyDescent="0.15">
      <c r="A87" s="13" t="s">
        <v>24</v>
      </c>
      <c r="B87" s="14">
        <f>H87+M87+R87+W87+AB87+AG87+AL87</f>
        <v>16048.4</v>
      </c>
      <c r="C87" s="14">
        <f>I87+N87+S87+X87+AC87+AH87+AM87</f>
        <v>1751.6499999999999</v>
      </c>
      <c r="D87" s="14">
        <f>J87+O87+T87+Y87+AD87+AI87+AN87</f>
        <v>688.64</v>
      </c>
      <c r="E87" s="14">
        <f>K87+P87+U87+Z87+AE87+AJ87+AO87</f>
        <v>260.13</v>
      </c>
      <c r="F87" s="19">
        <f>F8</f>
        <v>95</v>
      </c>
      <c r="G87" s="13"/>
      <c r="H87" s="14">
        <f>B8*H$79*$K$9</f>
        <v>1332.32</v>
      </c>
      <c r="I87" s="14">
        <f>C8*I$79*$K$9</f>
        <v>118.97999999999999</v>
      </c>
      <c r="J87" s="14">
        <f>D8*J$79*$K$9</f>
        <v>40.35</v>
      </c>
      <c r="K87" s="14">
        <f>E8*K$79*$K$9</f>
        <v>17.400000000000002</v>
      </c>
      <c r="L87" s="13"/>
      <c r="M87" s="14">
        <f>B8*M$79*$K$9</f>
        <v>1514</v>
      </c>
      <c r="N87" s="14">
        <f>C8*N$79*$K$9</f>
        <v>185.08</v>
      </c>
      <c r="O87" s="14">
        <f>D8*O$79*$K$9</f>
        <v>94.149999999999991</v>
      </c>
      <c r="P87" s="14">
        <f>E8*P$79*$K$9</f>
        <v>34.800000000000004</v>
      </c>
      <c r="Q87" s="13"/>
      <c r="R87" s="14">
        <f>B8*R$79*$K$9</f>
        <v>2543.52</v>
      </c>
      <c r="S87" s="14">
        <f>C8*S$79*$K$9</f>
        <v>297.45</v>
      </c>
      <c r="T87" s="14">
        <f>D8*T$79*$K$9</f>
        <v>102.22</v>
      </c>
      <c r="U87" s="14">
        <f>E8*U$79*$K$9</f>
        <v>43.5</v>
      </c>
      <c r="V87" s="13"/>
      <c r="W87" s="14">
        <f>B8*W$79*$K$9</f>
        <v>1211.2</v>
      </c>
      <c r="X87" s="14">
        <f>C8*X$79*$K$9</f>
        <v>145.41999999999999</v>
      </c>
      <c r="Y87" s="14">
        <f>D8*Y$79*$K$9</f>
        <v>75.320000000000007</v>
      </c>
      <c r="Z87" s="14">
        <f>E8*Z$79*$K$9</f>
        <v>27.84</v>
      </c>
      <c r="AA87" s="13"/>
      <c r="AB87" s="14">
        <f>B8*AB$79*$K$9</f>
        <v>2301.2800000000002</v>
      </c>
      <c r="AC87" s="14">
        <f>C8*AC$79*$K$9</f>
        <v>264.40000000000003</v>
      </c>
      <c r="AD87" s="14">
        <f>D8*AD$79*$K$9</f>
        <v>86.08</v>
      </c>
      <c r="AE87" s="14">
        <f>E8*AE$79*$K$9</f>
        <v>39.15</v>
      </c>
      <c r="AF87" s="13"/>
      <c r="AG87" s="14">
        <f>B8*AG$79*$K$9</f>
        <v>1090.08</v>
      </c>
      <c r="AH87" s="14">
        <f>C8*AH$79*$K$9</f>
        <v>79.319999999999993</v>
      </c>
      <c r="AI87" s="14">
        <f>D8*AI$79*$K$9</f>
        <v>21.52</v>
      </c>
      <c r="AJ87" s="14">
        <f>E8*AJ$79*$K$9</f>
        <v>10.44</v>
      </c>
      <c r="AK87" s="13"/>
      <c r="AL87" s="14">
        <f>B8*AL$79</f>
        <v>6056</v>
      </c>
      <c r="AM87" s="14">
        <f>C8*AM$79</f>
        <v>661</v>
      </c>
      <c r="AN87" s="14">
        <f>D8*AN$79</f>
        <v>269</v>
      </c>
      <c r="AO87" s="14">
        <f>E8*AO$79</f>
        <v>87</v>
      </c>
      <c r="AP87" s="13"/>
      <c r="AQ87" s="15" t="s">
        <v>95</v>
      </c>
      <c r="AR87" s="35">
        <f>SUM(AR80:AR86)</f>
        <v>300</v>
      </c>
    </row>
    <row r="88" spans="1:44" x14ac:dyDescent="0.15">
      <c r="A88" s="13" t="s">
        <v>26</v>
      </c>
      <c r="B88" s="14">
        <f>H88+M88+R88+W88+AB88+AG88+AL88</f>
        <v>17906.05</v>
      </c>
      <c r="C88" s="14">
        <f>I88+N88+S88+X88+AC88+AH88+AM88</f>
        <v>2848.75</v>
      </c>
      <c r="D88" s="14">
        <f>J88+O88+T88+Y88+AD88+AI88+AN88</f>
        <v>1876.48</v>
      </c>
      <c r="E88" s="14">
        <f>K88+P88+U88+Z88+AE88+AJ88+AO88</f>
        <v>337.87</v>
      </c>
      <c r="F88" s="19">
        <f>F9</f>
        <v>112</v>
      </c>
      <c r="G88" s="13"/>
      <c r="H88" s="14">
        <f>B9*H$79*$K$9</f>
        <v>1486.54</v>
      </c>
      <c r="I88" s="14">
        <f>C9*I$79*$K$9</f>
        <v>193.5</v>
      </c>
      <c r="J88" s="14">
        <f>D9*J$79*$K$9</f>
        <v>109.95</v>
      </c>
      <c r="K88" s="14">
        <f>E9*K$79*$K$9</f>
        <v>22.6</v>
      </c>
      <c r="L88" s="13"/>
      <c r="M88" s="14">
        <f>B9*M$79*$K$9</f>
        <v>1689.25</v>
      </c>
      <c r="N88" s="14">
        <f>C9*N$79*$K$9</f>
        <v>301.00000000000006</v>
      </c>
      <c r="O88" s="14">
        <f>D9*O$79*$K$9</f>
        <v>256.55</v>
      </c>
      <c r="P88" s="14">
        <f>E9*P$79*$K$9</f>
        <v>45.2</v>
      </c>
      <c r="Q88" s="13"/>
      <c r="R88" s="14">
        <f>B9*R$79*$K$9</f>
        <v>2837.94</v>
      </c>
      <c r="S88" s="14">
        <f>C9*S$79*$K$9</f>
        <v>483.75</v>
      </c>
      <c r="T88" s="14">
        <f>D9*T$79*$K$9</f>
        <v>278.54000000000002</v>
      </c>
      <c r="U88" s="14">
        <f>E9*U$79*$K$9</f>
        <v>56.5</v>
      </c>
      <c r="V88" s="13"/>
      <c r="W88" s="14">
        <f>B9*W$79*$K$9</f>
        <v>1351.4</v>
      </c>
      <c r="X88" s="14">
        <f>C9*X$79*$K$9</f>
        <v>236.5</v>
      </c>
      <c r="Y88" s="14">
        <f>D9*Y$79*$K$9</f>
        <v>205.24</v>
      </c>
      <c r="Z88" s="14">
        <f>E9*Z$79*$K$9</f>
        <v>36.160000000000004</v>
      </c>
      <c r="AA88" s="13"/>
      <c r="AB88" s="14">
        <f>B9*AB$79*$K$9</f>
        <v>2567.66</v>
      </c>
      <c r="AC88" s="14">
        <f>C9*AC$79*$K$9</f>
        <v>430</v>
      </c>
      <c r="AD88" s="14">
        <f>D9*AD$79*$K$9</f>
        <v>234.56</v>
      </c>
      <c r="AE88" s="14">
        <f>E9*AE$79*$K$9</f>
        <v>50.85</v>
      </c>
      <c r="AF88" s="13"/>
      <c r="AG88" s="14">
        <f>B9*AG$79*$K$9</f>
        <v>1216.26</v>
      </c>
      <c r="AH88" s="14">
        <f>C9*AH$79*$K$9</f>
        <v>129</v>
      </c>
      <c r="AI88" s="14">
        <f>D9*AI$79*$K$9</f>
        <v>58.64</v>
      </c>
      <c r="AJ88" s="14">
        <f>E9*AJ$79*$K$9</f>
        <v>13.559999999999999</v>
      </c>
      <c r="AK88" s="13"/>
      <c r="AL88" s="14">
        <f>B9*AL$79</f>
        <v>6757</v>
      </c>
      <c r="AM88" s="14">
        <f>C9*AM$79</f>
        <v>1075</v>
      </c>
      <c r="AN88" s="14">
        <f>D9*AN$79</f>
        <v>733</v>
      </c>
      <c r="AO88" s="14">
        <f>E9*AO$79</f>
        <v>113</v>
      </c>
      <c r="AP88" s="13"/>
      <c r="AQ88" s="13"/>
      <c r="AR88" s="13"/>
    </row>
    <row r="89" spans="1:44" x14ac:dyDescent="0.15">
      <c r="A89" s="13" t="s">
        <v>28</v>
      </c>
      <c r="B89" s="14">
        <f>H89+M89+R89+W89+AB89+AG89+AL89</f>
        <v>19570.25</v>
      </c>
      <c r="C89" s="14">
        <f>I89+N89+S89+X89+AC89+AH89+AM89</f>
        <v>3421.15</v>
      </c>
      <c r="D89" s="14">
        <f>J89+O89+T89+Y89+AD89+AI89+AN89</f>
        <v>2647.04</v>
      </c>
      <c r="E89" s="14">
        <f>K89+P89+U89+Z89+AE89+AJ89+AO89</f>
        <v>313.95</v>
      </c>
      <c r="F89" s="19">
        <f>F10</f>
        <v>130</v>
      </c>
      <c r="G89" s="13"/>
      <c r="H89" s="14">
        <f>B10*H$79*$K$9</f>
        <v>1624.7</v>
      </c>
      <c r="I89" s="14">
        <f>C10*I$79*$K$9</f>
        <v>232.38</v>
      </c>
      <c r="J89" s="14">
        <f>D10*J$79*$K$9</f>
        <v>155.1</v>
      </c>
      <c r="K89" s="14">
        <f>E10*K$79*$K$9</f>
        <v>21</v>
      </c>
      <c r="L89" s="13"/>
      <c r="M89" s="14">
        <f>B10*M$79*$K$9</f>
        <v>1846.25</v>
      </c>
      <c r="N89" s="14">
        <f>C10*N$79*$K$9</f>
        <v>361.48</v>
      </c>
      <c r="O89" s="14">
        <f>D10*O$79*$K$9</f>
        <v>361.9</v>
      </c>
      <c r="P89" s="14">
        <f>E10*P$79*$K$9</f>
        <v>42</v>
      </c>
      <c r="Q89" s="13"/>
      <c r="R89" s="14">
        <f>B10*R$79*$K$9</f>
        <v>3101.7</v>
      </c>
      <c r="S89" s="14">
        <f>C10*S$79*$K$9</f>
        <v>580.95000000000005</v>
      </c>
      <c r="T89" s="14">
        <f>D10*T$79*$K$9</f>
        <v>392.92</v>
      </c>
      <c r="U89" s="14">
        <f>E10*U$79*$K$9</f>
        <v>52.5</v>
      </c>
      <c r="V89" s="13"/>
      <c r="W89" s="14">
        <f>B10*W$79*$K$9</f>
        <v>1477</v>
      </c>
      <c r="X89" s="14">
        <f>C10*X$79*$K$9</f>
        <v>284.02</v>
      </c>
      <c r="Y89" s="14">
        <f>D10*Y$79*$K$9</f>
        <v>289.52000000000004</v>
      </c>
      <c r="Z89" s="14">
        <f>E10*Z$79*$K$9</f>
        <v>33.6</v>
      </c>
      <c r="AA89" s="13"/>
      <c r="AB89" s="14">
        <f>B10*AB$79*$K$9</f>
        <v>2806.3</v>
      </c>
      <c r="AC89" s="14">
        <f>C10*AC$79*$K$9</f>
        <v>516.4</v>
      </c>
      <c r="AD89" s="14">
        <f>D10*AD$79*$K$9</f>
        <v>330.88</v>
      </c>
      <c r="AE89" s="14">
        <f>E10*AE$79*$K$9</f>
        <v>47.25</v>
      </c>
      <c r="AF89" s="13"/>
      <c r="AG89" s="14">
        <f>B10*AG$79*$K$9</f>
        <v>1329.3</v>
      </c>
      <c r="AH89" s="14">
        <f>C10*AH$79*$K$9</f>
        <v>154.91999999999999</v>
      </c>
      <c r="AI89" s="14">
        <f>D10*AI$79*$K$9</f>
        <v>82.72</v>
      </c>
      <c r="AJ89" s="14">
        <f>E10*AJ$79*$K$9</f>
        <v>12.6</v>
      </c>
      <c r="AK89" s="13"/>
      <c r="AL89" s="14">
        <f>B10*AL$79</f>
        <v>7385</v>
      </c>
      <c r="AM89" s="14">
        <f>C10*AM$79</f>
        <v>1291</v>
      </c>
      <c r="AN89" s="14">
        <f>D10*AN$79</f>
        <v>1034</v>
      </c>
      <c r="AO89" s="14">
        <f>E10*AO$79</f>
        <v>105</v>
      </c>
      <c r="AP89" s="13"/>
      <c r="AQ89" s="13"/>
      <c r="AR89" s="13"/>
    </row>
    <row r="90" spans="1:44" x14ac:dyDescent="0.15">
      <c r="A90" s="13" t="s">
        <v>30</v>
      </c>
      <c r="B90" s="14">
        <f>H90+M90+R90+W90+AB90+AG90+AL90</f>
        <v>18894.5</v>
      </c>
      <c r="C90" s="14">
        <f>I90+N90+S90+X90+AC90+AH90+AM90</f>
        <v>2901.75</v>
      </c>
      <c r="D90" s="14">
        <f>J90+O90+T90+Y90+AD90+AI90+AN90</f>
        <v>2063.36</v>
      </c>
      <c r="E90" s="14">
        <f>K90+P90+U90+Z90+AE90+AJ90+AO90</f>
        <v>278.07</v>
      </c>
      <c r="F90" s="19">
        <f>F11</f>
        <v>121</v>
      </c>
      <c r="G90" s="13"/>
      <c r="H90" s="14">
        <f>B11*H$79*$K$9</f>
        <v>1568.6</v>
      </c>
      <c r="I90" s="14">
        <f>C11*I$79*$K$9</f>
        <v>197.1</v>
      </c>
      <c r="J90" s="14">
        <f>D11*J$79*$K$9</f>
        <v>120.89999999999999</v>
      </c>
      <c r="K90" s="14">
        <f>E11*K$79*$K$9</f>
        <v>18.600000000000001</v>
      </c>
      <c r="L90" s="13"/>
      <c r="M90" s="14">
        <f>B11*M$79*$K$9</f>
        <v>1782.5</v>
      </c>
      <c r="N90" s="14">
        <f>C11*N$79*$K$9</f>
        <v>306.60000000000002</v>
      </c>
      <c r="O90" s="14">
        <f>D11*O$79*$K$9</f>
        <v>282.09999999999997</v>
      </c>
      <c r="P90" s="14">
        <f>E11*P$79*$K$9</f>
        <v>37.200000000000003</v>
      </c>
      <c r="Q90" s="13"/>
      <c r="R90" s="14">
        <f>B11*R$79*$K$9</f>
        <v>2994.6</v>
      </c>
      <c r="S90" s="14">
        <f>C11*S$79*$K$9</f>
        <v>492.75</v>
      </c>
      <c r="T90" s="14">
        <f>D11*T$79*$K$9</f>
        <v>306.28000000000003</v>
      </c>
      <c r="U90" s="14">
        <f>E11*U$79*$K$9</f>
        <v>46.5</v>
      </c>
      <c r="V90" s="13"/>
      <c r="W90" s="14">
        <f>B11*W$79*$K$9</f>
        <v>1426</v>
      </c>
      <c r="X90" s="14">
        <f>C11*X$79*$K$9</f>
        <v>240.9</v>
      </c>
      <c r="Y90" s="14">
        <f>D11*Y$79*$K$9</f>
        <v>225.68000000000004</v>
      </c>
      <c r="Z90" s="14">
        <f>E11*Z$79*$K$9</f>
        <v>29.76</v>
      </c>
      <c r="AA90" s="13"/>
      <c r="AB90" s="14">
        <f>B11*AB$79*$K$9</f>
        <v>2709.4</v>
      </c>
      <c r="AC90" s="14">
        <f>C11*AC$79*$K$9</f>
        <v>438</v>
      </c>
      <c r="AD90" s="14">
        <f>D11*AD$79*$K$9</f>
        <v>257.92</v>
      </c>
      <c r="AE90" s="14">
        <f>E11*AE$79*$K$9</f>
        <v>41.85</v>
      </c>
      <c r="AF90" s="13"/>
      <c r="AG90" s="14">
        <f>B11*AG$79*$K$9</f>
        <v>1283.3999999999999</v>
      </c>
      <c r="AH90" s="14">
        <f>C11*AH$79*$K$9</f>
        <v>131.4</v>
      </c>
      <c r="AI90" s="14">
        <f>D11*AI$79*$K$9</f>
        <v>64.48</v>
      </c>
      <c r="AJ90" s="14">
        <f>E11*AJ$79*$K$9</f>
        <v>11.16</v>
      </c>
      <c r="AK90" s="13"/>
      <c r="AL90" s="14">
        <f>B11*AL$79</f>
        <v>7130</v>
      </c>
      <c r="AM90" s="14">
        <f>C11*AM$79</f>
        <v>1095</v>
      </c>
      <c r="AN90" s="14">
        <f>D11*AN$79</f>
        <v>806</v>
      </c>
      <c r="AO90" s="14">
        <f>E11*AO$79</f>
        <v>93</v>
      </c>
      <c r="AP90" s="13"/>
      <c r="AQ90" s="13"/>
      <c r="AR90" s="13"/>
    </row>
    <row r="91" spans="1:44" x14ac:dyDescent="0.15">
      <c r="A91" s="13"/>
      <c r="B91" s="13"/>
      <c r="C91" s="13"/>
      <c r="D91" s="13"/>
      <c r="E91" s="13"/>
      <c r="F91" s="13"/>
      <c r="G91" s="13"/>
      <c r="H91" s="23">
        <v>0.22</v>
      </c>
      <c r="I91" s="23">
        <v>0.18</v>
      </c>
      <c r="J91" s="23">
        <v>0.15</v>
      </c>
      <c r="K91" s="23">
        <v>0.2</v>
      </c>
      <c r="L91" s="13"/>
      <c r="M91" s="25">
        <v>0.25</v>
      </c>
      <c r="N91" s="25">
        <v>0.28000000000000003</v>
      </c>
      <c r="O91" s="25">
        <v>0.35</v>
      </c>
      <c r="P91" s="25">
        <v>0.4</v>
      </c>
      <c r="Q91" s="13"/>
      <c r="R91" s="27">
        <v>0.42</v>
      </c>
      <c r="S91" s="27">
        <v>0.45</v>
      </c>
      <c r="T91" s="27">
        <v>0.38</v>
      </c>
      <c r="U91" s="27">
        <v>0.5</v>
      </c>
      <c r="V91" s="13"/>
      <c r="W91" s="25">
        <v>0.2</v>
      </c>
      <c r="X91" s="25">
        <v>0.22</v>
      </c>
      <c r="Y91" s="25">
        <v>0.28000000000000003</v>
      </c>
      <c r="Z91" s="25">
        <v>0.32</v>
      </c>
      <c r="AA91" s="13"/>
      <c r="AB91" s="27">
        <v>0.38</v>
      </c>
      <c r="AC91" s="27">
        <v>0.4</v>
      </c>
      <c r="AD91" s="27">
        <v>0.32</v>
      </c>
      <c r="AE91" s="27">
        <v>0.45</v>
      </c>
      <c r="AF91" s="13"/>
      <c r="AG91" s="29">
        <v>0.18</v>
      </c>
      <c r="AH91" s="29">
        <v>0.12</v>
      </c>
      <c r="AI91" s="29">
        <v>0.08</v>
      </c>
      <c r="AJ91" s="29">
        <v>0.12</v>
      </c>
      <c r="AK91" s="13"/>
      <c r="AL91" s="31">
        <v>1</v>
      </c>
      <c r="AM91" s="31">
        <v>1</v>
      </c>
      <c r="AN91" s="31">
        <v>1</v>
      </c>
      <c r="AO91" s="31">
        <v>1</v>
      </c>
      <c r="AP91" s="13"/>
      <c r="AQ91" s="33" t="s">
        <v>111</v>
      </c>
      <c r="AR91" s="33"/>
    </row>
    <row r="92" spans="1:44" ht="14" x14ac:dyDescent="0.15">
      <c r="A92" s="22" t="s">
        <v>110</v>
      </c>
      <c r="B92" s="22"/>
      <c r="C92" s="22"/>
      <c r="D92" s="22"/>
      <c r="E92" s="22"/>
      <c r="F92" s="22"/>
      <c r="G92" s="13"/>
      <c r="H92" s="24" t="s">
        <v>82</v>
      </c>
      <c r="I92" s="24"/>
      <c r="J92" s="24"/>
      <c r="K92" s="24"/>
      <c r="L92" s="13"/>
      <c r="M92" s="26" t="s">
        <v>83</v>
      </c>
      <c r="N92" s="26"/>
      <c r="O92" s="26"/>
      <c r="P92" s="26"/>
      <c r="Q92" s="13"/>
      <c r="R92" s="28" t="s">
        <v>84</v>
      </c>
      <c r="S92" s="28"/>
      <c r="T92" s="28"/>
      <c r="U92" s="28"/>
      <c r="V92" s="13"/>
      <c r="W92" s="26" t="s">
        <v>85</v>
      </c>
      <c r="X92" s="26"/>
      <c r="Y92" s="26"/>
      <c r="Z92" s="26"/>
      <c r="AA92" s="13"/>
      <c r="AB92" s="28" t="s">
        <v>86</v>
      </c>
      <c r="AC92" s="28"/>
      <c r="AD92" s="28"/>
      <c r="AE92" s="28"/>
      <c r="AF92" s="13"/>
      <c r="AG92" s="30" t="s">
        <v>87</v>
      </c>
      <c r="AH92" s="30"/>
      <c r="AI92" s="30"/>
      <c r="AJ92" s="30"/>
      <c r="AK92" s="13"/>
      <c r="AL92" s="32" t="s">
        <v>109</v>
      </c>
      <c r="AM92" s="32"/>
      <c r="AN92" s="32"/>
      <c r="AO92" s="32"/>
      <c r="AP92" s="13"/>
      <c r="AQ92" s="13" t="s">
        <v>36</v>
      </c>
      <c r="AR92" s="34">
        <v>30</v>
      </c>
    </row>
    <row r="93" spans="1:44" x14ac:dyDescent="0.15">
      <c r="A93" s="17" t="s">
        <v>2</v>
      </c>
      <c r="B93" s="17" t="s">
        <v>3</v>
      </c>
      <c r="C93" s="17" t="s">
        <v>4</v>
      </c>
      <c r="D93" s="17" t="s">
        <v>5</v>
      </c>
      <c r="E93" s="17" t="s">
        <v>6</v>
      </c>
      <c r="F93" s="17" t="s">
        <v>7</v>
      </c>
      <c r="G93" s="13"/>
      <c r="H93" s="17" t="s">
        <v>3</v>
      </c>
      <c r="I93" s="17" t="s">
        <v>4</v>
      </c>
      <c r="J93" s="17" t="s">
        <v>5</v>
      </c>
      <c r="K93" s="17" t="s">
        <v>6</v>
      </c>
      <c r="L93" s="13"/>
      <c r="M93" s="17" t="s">
        <v>3</v>
      </c>
      <c r="N93" s="17" t="s">
        <v>4</v>
      </c>
      <c r="O93" s="17" t="s">
        <v>5</v>
      </c>
      <c r="P93" s="17" t="s">
        <v>6</v>
      </c>
      <c r="Q93" s="13"/>
      <c r="R93" s="17" t="s">
        <v>3</v>
      </c>
      <c r="S93" s="17" t="s">
        <v>4</v>
      </c>
      <c r="T93" s="17" t="s">
        <v>5</v>
      </c>
      <c r="U93" s="17" t="s">
        <v>6</v>
      </c>
      <c r="V93" s="13"/>
      <c r="W93" s="17" t="s">
        <v>3</v>
      </c>
      <c r="X93" s="17" t="s">
        <v>4</v>
      </c>
      <c r="Y93" s="17" t="s">
        <v>5</v>
      </c>
      <c r="Z93" s="17" t="s">
        <v>6</v>
      </c>
      <c r="AA93" s="13"/>
      <c r="AB93" s="17" t="s">
        <v>3</v>
      </c>
      <c r="AC93" s="17" t="s">
        <v>4</v>
      </c>
      <c r="AD93" s="17" t="s">
        <v>5</v>
      </c>
      <c r="AE93" s="17" t="s">
        <v>6</v>
      </c>
      <c r="AF93" s="13"/>
      <c r="AG93" s="17" t="s">
        <v>3</v>
      </c>
      <c r="AH93" s="17" t="s">
        <v>4</v>
      </c>
      <c r="AI93" s="17" t="s">
        <v>5</v>
      </c>
      <c r="AJ93" s="17" t="s">
        <v>6</v>
      </c>
      <c r="AK93" s="13"/>
      <c r="AL93" s="17" t="s">
        <v>3</v>
      </c>
      <c r="AM93" s="17" t="s">
        <v>4</v>
      </c>
      <c r="AN93" s="17" t="s">
        <v>5</v>
      </c>
      <c r="AO93" s="17" t="s">
        <v>6</v>
      </c>
      <c r="AP93" s="13"/>
      <c r="AQ93" s="13" t="s">
        <v>91</v>
      </c>
      <c r="AR93" s="34">
        <v>30</v>
      </c>
    </row>
    <row r="94" spans="1:44" x14ac:dyDescent="0.15">
      <c r="A94" s="13" t="s">
        <v>14</v>
      </c>
      <c r="B94" s="14">
        <f>H94+M94+R94+W94+AB94+AG94+AL94</f>
        <v>14259.097</v>
      </c>
      <c r="C94" s="14">
        <f>I94+N94+S94+X94+AC94+AH94+AM94</f>
        <v>990.98950000000002</v>
      </c>
      <c r="D94" s="14">
        <f>J94+O94+T94+Y94+AD94+AI94+AN94</f>
        <v>245.08</v>
      </c>
      <c r="E94" s="14">
        <f>K94+P94+U94+Z94+AE94+AJ94+AO94</f>
        <v>88.371700000000004</v>
      </c>
      <c r="F94" s="19">
        <f>F3</f>
        <v>85</v>
      </c>
      <c r="G94" s="13"/>
      <c r="H94" s="14">
        <f>B3*H$91*$K$10</f>
        <v>1151.0796</v>
      </c>
      <c r="I94" s="14">
        <f>C3*I$91*$K$10</f>
        <v>65.453400000000002</v>
      </c>
      <c r="J94" s="14">
        <f>D3*J$91*$K$10</f>
        <v>13.950000000000001</v>
      </c>
      <c r="K94" s="14">
        <f>E3*K$91*$K$10</f>
        <v>5.7660000000000009</v>
      </c>
      <c r="L94" s="13"/>
      <c r="M94" s="14">
        <f>B3*M$91*$K$10</f>
        <v>1308.0450000000001</v>
      </c>
      <c r="N94" s="14">
        <f>C3*N$91*$K$10</f>
        <v>101.81640000000002</v>
      </c>
      <c r="O94" s="14">
        <f>D3*O$91*$K$10</f>
        <v>32.550000000000004</v>
      </c>
      <c r="P94" s="14">
        <f>E3*P$91*$K$10</f>
        <v>11.532000000000002</v>
      </c>
      <c r="Q94" s="13"/>
      <c r="R94" s="14">
        <f>B3*R$91*$K$10</f>
        <v>2197.5156000000002</v>
      </c>
      <c r="S94" s="14">
        <f>C3*S$91*$K$10</f>
        <v>163.63350000000003</v>
      </c>
      <c r="T94" s="14">
        <f>D3*T$91*$K$10</f>
        <v>35.340000000000003</v>
      </c>
      <c r="U94" s="14">
        <f>E3*U$91*$K$10</f>
        <v>14.415000000000001</v>
      </c>
      <c r="V94" s="13"/>
      <c r="W94" s="14">
        <f>B3*W$91*$K$10</f>
        <v>1046.4360000000001</v>
      </c>
      <c r="X94" s="14">
        <f>C3*X$91*$K$10</f>
        <v>79.998599999999996</v>
      </c>
      <c r="Y94" s="14">
        <f>D3*Y$91*$K$10</f>
        <v>26.040000000000006</v>
      </c>
      <c r="Z94" s="14">
        <f>E3*Z$91*$K$10</f>
        <v>9.2256</v>
      </c>
      <c r="AA94" s="13"/>
      <c r="AB94" s="14">
        <f>B3*AB$91*$K$10</f>
        <v>1988.2284000000002</v>
      </c>
      <c r="AC94" s="14">
        <f>C3*AC$91*$K$10</f>
        <v>145.45200000000003</v>
      </c>
      <c r="AD94" s="14">
        <f>D3*AD$91*$K$10</f>
        <v>29.76</v>
      </c>
      <c r="AE94" s="14">
        <f>E3*AE$91*$K$10</f>
        <v>12.973500000000001</v>
      </c>
      <c r="AF94" s="13"/>
      <c r="AG94" s="14">
        <f>B3*AG$91*$K$10</f>
        <v>941.79240000000004</v>
      </c>
      <c r="AH94" s="14">
        <f>C3*AH$91*$K$10</f>
        <v>43.635600000000004</v>
      </c>
      <c r="AI94" s="14">
        <f>D3*AI$91*$K$10</f>
        <v>7.44</v>
      </c>
      <c r="AJ94" s="14">
        <f>E3*AJ$91*$K$10</f>
        <v>3.4596</v>
      </c>
      <c r="AK94" s="13"/>
      <c r="AL94" s="14">
        <f>B3*AL$91</f>
        <v>5626</v>
      </c>
      <c r="AM94" s="14">
        <f>C3*AM$91</f>
        <v>391</v>
      </c>
      <c r="AN94" s="14">
        <f>D3*AN$91</f>
        <v>100</v>
      </c>
      <c r="AO94" s="14">
        <f>E3*AO$91</f>
        <v>31</v>
      </c>
      <c r="AP94" s="13"/>
      <c r="AQ94" s="13" t="s">
        <v>92</v>
      </c>
      <c r="AR94" s="34">
        <v>60</v>
      </c>
    </row>
    <row r="95" spans="1:44" x14ac:dyDescent="0.15">
      <c r="A95" s="13" t="s">
        <v>15</v>
      </c>
      <c r="B95" s="14">
        <f>H95+M95+R95+W95+AB95+AG95+AL95</f>
        <v>13906.801500000001</v>
      </c>
      <c r="C95" s="14">
        <f>I95+N95+S95+X95+AC95+AH95+AM95</f>
        <v>922.55799999999999</v>
      </c>
      <c r="D95" s="14">
        <f>J95+O95+T95+Y95+AD95+AI95+AN95</f>
        <v>343.11199999999997</v>
      </c>
      <c r="E95" s="14">
        <f>K95+P95+U95+Z95+AE95+AJ95+AO95</f>
        <v>85.521000000000015</v>
      </c>
      <c r="F95" s="19">
        <f>F4</f>
        <v>81</v>
      </c>
      <c r="G95" s="13"/>
      <c r="H95" s="14">
        <f>B4*H$91*$K$10</f>
        <v>1122.6402</v>
      </c>
      <c r="I95" s="14">
        <f>C4*I$91*$K$10</f>
        <v>60.933599999999998</v>
      </c>
      <c r="J95" s="14">
        <f>D4*J$91*$K$10</f>
        <v>19.53</v>
      </c>
      <c r="K95" s="14">
        <f>E4*K$91*$K$10</f>
        <v>5.58</v>
      </c>
      <c r="L95" s="13"/>
      <c r="M95" s="14">
        <f>B4*M$91*$K$10</f>
        <v>1275.7275</v>
      </c>
      <c r="N95" s="14">
        <f>C4*N$91*$K$10</f>
        <v>94.785600000000017</v>
      </c>
      <c r="O95" s="14">
        <f>D4*O$91*$K$10</f>
        <v>45.57</v>
      </c>
      <c r="P95" s="14">
        <f>E4*P$91*$K$10</f>
        <v>11.16</v>
      </c>
      <c r="Q95" s="13"/>
      <c r="R95" s="14">
        <f>B4*R$91*$K$10</f>
        <v>2143.2222000000002</v>
      </c>
      <c r="S95" s="14">
        <f>C4*S$91*$K$10</f>
        <v>152.33400000000003</v>
      </c>
      <c r="T95" s="14">
        <f>D4*T$91*$K$10</f>
        <v>49.476000000000006</v>
      </c>
      <c r="U95" s="14">
        <f>E4*U$91*$K$10</f>
        <v>13.950000000000001</v>
      </c>
      <c r="V95" s="13"/>
      <c r="W95" s="14">
        <f>B4*W$91*$K$10</f>
        <v>1020.5820000000001</v>
      </c>
      <c r="X95" s="14">
        <f>C4*X$91*$K$10</f>
        <v>74.474400000000003</v>
      </c>
      <c r="Y95" s="14">
        <f>D4*Y$91*$K$10</f>
        <v>36.456000000000003</v>
      </c>
      <c r="Z95" s="14">
        <f>E4*Z$91*$K$10</f>
        <v>8.9280000000000008</v>
      </c>
      <c r="AA95" s="13"/>
      <c r="AB95" s="14">
        <f>B4*AB$91*$K$10</f>
        <v>1939.1058</v>
      </c>
      <c r="AC95" s="14">
        <f>C4*AC$91*$K$10</f>
        <v>135.40800000000002</v>
      </c>
      <c r="AD95" s="14">
        <f>D4*AD$91*$K$10</f>
        <v>41.664000000000009</v>
      </c>
      <c r="AE95" s="14">
        <f>E4*AE$91*$K$10</f>
        <v>12.555000000000001</v>
      </c>
      <c r="AF95" s="13"/>
      <c r="AG95" s="14">
        <f>B4*AG$91*$K$10</f>
        <v>918.52380000000005</v>
      </c>
      <c r="AH95" s="14">
        <f>C4*AH$91*$K$10</f>
        <v>40.622399999999999</v>
      </c>
      <c r="AI95" s="14">
        <f>D4*AI$91*$K$10</f>
        <v>10.416000000000002</v>
      </c>
      <c r="AJ95" s="14">
        <f>E4*AJ$91*$K$10</f>
        <v>3.3479999999999999</v>
      </c>
      <c r="AK95" s="13"/>
      <c r="AL95" s="14">
        <f>B4*AL$91</f>
        <v>5487</v>
      </c>
      <c r="AM95" s="14">
        <f>C4*AM$91</f>
        <v>364</v>
      </c>
      <c r="AN95" s="14">
        <f>D4*AN$91</f>
        <v>140</v>
      </c>
      <c r="AO95" s="14">
        <f>E4*AO$91</f>
        <v>30</v>
      </c>
      <c r="AP95" s="13"/>
      <c r="AQ95" s="13" t="s">
        <v>93</v>
      </c>
      <c r="AR95" s="34">
        <v>25</v>
      </c>
    </row>
    <row r="96" spans="1:44" x14ac:dyDescent="0.15">
      <c r="A96" s="13" t="s">
        <v>18</v>
      </c>
      <c r="B96" s="14">
        <f>H96+M96+R96+W96+AB96+AG96+AL96</f>
        <v>15990.1605</v>
      </c>
      <c r="C96" s="14">
        <f>I96+N96+S96+X96+AC96+AH96+AM96</f>
        <v>1426.9234999999999</v>
      </c>
      <c r="D96" s="14">
        <f>J96+O96+T96+Y96+AD96+AI96+AN96</f>
        <v>696.02719999999999</v>
      </c>
      <c r="E96" s="14">
        <f>K96+P96+U96+Z96+AE96+AJ96+AO96</f>
        <v>151.08710000000002</v>
      </c>
      <c r="F96" s="19">
        <f>F5</f>
        <v>103</v>
      </c>
      <c r="G96" s="13"/>
      <c r="H96" s="14">
        <f>B5*H$91*$K$10</f>
        <v>1290.8214</v>
      </c>
      <c r="I96" s="14">
        <f>C5*I$91*$K$10</f>
        <v>94.246200000000002</v>
      </c>
      <c r="J96" s="14">
        <f>D5*J$91*$K$10</f>
        <v>39.618000000000002</v>
      </c>
      <c r="K96" s="14">
        <f>E5*K$91*$K$10</f>
        <v>9.8580000000000023</v>
      </c>
      <c r="L96" s="13"/>
      <c r="M96" s="14">
        <f>B5*M$91*$K$10</f>
        <v>1466.8425</v>
      </c>
      <c r="N96" s="14">
        <f>C5*N$91*$K$10</f>
        <v>146.60520000000002</v>
      </c>
      <c r="O96" s="14">
        <f>D5*O$91*$K$10</f>
        <v>92.441999999999993</v>
      </c>
      <c r="P96" s="14">
        <f>E5*P$91*$K$10</f>
        <v>19.716000000000005</v>
      </c>
      <c r="Q96" s="13"/>
      <c r="R96" s="14">
        <f>B5*R$91*$K$10</f>
        <v>2464.2954</v>
      </c>
      <c r="S96" s="14">
        <f>C5*S$91*$K$10</f>
        <v>235.6155</v>
      </c>
      <c r="T96" s="14">
        <f>D5*T$91*$K$10</f>
        <v>100.3656</v>
      </c>
      <c r="U96" s="14">
        <f>E5*U$91*$K$10</f>
        <v>24.645</v>
      </c>
      <c r="V96" s="13"/>
      <c r="W96" s="14">
        <f>B5*W$91*$K$10</f>
        <v>1173.4740000000002</v>
      </c>
      <c r="X96" s="14">
        <f>C5*X$91*$K$10</f>
        <v>115.18980000000001</v>
      </c>
      <c r="Y96" s="14">
        <f>D5*Y$91*$K$10</f>
        <v>73.953600000000009</v>
      </c>
      <c r="Z96" s="14">
        <f>E5*Z$91*$K$10</f>
        <v>15.772800000000002</v>
      </c>
      <c r="AA96" s="13"/>
      <c r="AB96" s="14">
        <f>B5*AB$91*$K$10</f>
        <v>2229.6006000000002</v>
      </c>
      <c r="AC96" s="14">
        <f>C5*AC$91*$K$10</f>
        <v>209.43600000000004</v>
      </c>
      <c r="AD96" s="14">
        <f>D5*AD$91*$K$10</f>
        <v>84.5184</v>
      </c>
      <c r="AE96" s="14">
        <f>E5*AE$91*$K$10</f>
        <v>22.180500000000002</v>
      </c>
      <c r="AF96" s="13"/>
      <c r="AG96" s="14">
        <f>B5*AG$91*$K$10</f>
        <v>1056.1266000000001</v>
      </c>
      <c r="AH96" s="14">
        <f>C5*AH$91*$K$10</f>
        <v>62.830800000000004</v>
      </c>
      <c r="AI96" s="14">
        <f>D5*AI$91*$K$10</f>
        <v>21.1296</v>
      </c>
      <c r="AJ96" s="14">
        <f>E5*AJ$91*$K$10</f>
        <v>5.9147999999999996</v>
      </c>
      <c r="AK96" s="13"/>
      <c r="AL96" s="14">
        <f>B5*AL$91</f>
        <v>6309</v>
      </c>
      <c r="AM96" s="14">
        <f>C5*AM$91</f>
        <v>563</v>
      </c>
      <c r="AN96" s="14">
        <f>D5*AN$91</f>
        <v>284</v>
      </c>
      <c r="AO96" s="14">
        <f>E5*AO$91</f>
        <v>53</v>
      </c>
      <c r="AP96" s="13"/>
      <c r="AQ96" s="13" t="s">
        <v>94</v>
      </c>
      <c r="AR96" s="34">
        <v>55</v>
      </c>
    </row>
    <row r="97" spans="1:44" x14ac:dyDescent="0.15">
      <c r="A97" s="13" t="s">
        <v>20</v>
      </c>
      <c r="B97" s="14">
        <f>H97+M97+R97+W97+AB97+AG97+AL97</f>
        <v>16218.265500000001</v>
      </c>
      <c r="C97" s="14">
        <f>I97+N97+S97+X97+AC97+AH97+AM97</f>
        <v>1769.0810000000001</v>
      </c>
      <c r="D97" s="14">
        <f>J97+O97+T97+Y97+AD97+AI97+AN97</f>
        <v>872.48479999999995</v>
      </c>
      <c r="E97" s="14">
        <f>K97+P97+U97+Z97+AE97+AJ97+AO97</f>
        <v>202.3997</v>
      </c>
      <c r="F97" s="19">
        <f>F6</f>
        <v>106</v>
      </c>
      <c r="G97" s="13"/>
      <c r="H97" s="14">
        <f>B6*H$91*$K$10</f>
        <v>1309.2354</v>
      </c>
      <c r="I97" s="14">
        <f>C6*I$91*$K$10</f>
        <v>116.84520000000001</v>
      </c>
      <c r="J97" s="14">
        <f>D6*J$91*$K$10</f>
        <v>49.661999999999999</v>
      </c>
      <c r="K97" s="14">
        <f>E6*K$91*$K$10</f>
        <v>13.206000000000001</v>
      </c>
      <c r="L97" s="13"/>
      <c r="M97" s="14">
        <f>B6*M$91*$K$10</f>
        <v>1487.7675000000002</v>
      </c>
      <c r="N97" s="14">
        <f>C6*N$91*$K$10</f>
        <v>181.75920000000002</v>
      </c>
      <c r="O97" s="14">
        <f>D6*O$91*$K$10</f>
        <v>115.878</v>
      </c>
      <c r="P97" s="14">
        <f>E6*P$91*$K$10</f>
        <v>26.412000000000003</v>
      </c>
      <c r="Q97" s="13"/>
      <c r="R97" s="14">
        <f>B6*R$91*$K$10</f>
        <v>2499.4494</v>
      </c>
      <c r="S97" s="14">
        <f>C6*S$91*$K$10</f>
        <v>292.11300000000006</v>
      </c>
      <c r="T97" s="14">
        <f>D6*T$91*$K$10</f>
        <v>125.8104</v>
      </c>
      <c r="U97" s="14">
        <f>E6*U$91*$K$10</f>
        <v>33.015000000000001</v>
      </c>
      <c r="V97" s="13"/>
      <c r="W97" s="14">
        <f>B6*W$91*$K$10</f>
        <v>1190.2140000000002</v>
      </c>
      <c r="X97" s="14">
        <f>C6*X$91*$K$10</f>
        <v>142.8108</v>
      </c>
      <c r="Y97" s="14">
        <f>D6*Y$91*$K$10</f>
        <v>92.702400000000011</v>
      </c>
      <c r="Z97" s="14">
        <f>E6*Z$91*$K$10</f>
        <v>21.1296</v>
      </c>
      <c r="AA97" s="13"/>
      <c r="AB97" s="14">
        <f>B6*AB$91*$K$10</f>
        <v>2261.4065999999998</v>
      </c>
      <c r="AC97" s="14">
        <f>C6*AC$91*$K$10</f>
        <v>259.65600000000001</v>
      </c>
      <c r="AD97" s="14">
        <f>D6*AD$91*$K$10</f>
        <v>105.94560000000001</v>
      </c>
      <c r="AE97" s="14">
        <f>E6*AE$91*$K$10</f>
        <v>29.7135</v>
      </c>
      <c r="AF97" s="13"/>
      <c r="AG97" s="14">
        <f>B6*AG$91*$K$10</f>
        <v>1071.1926000000001</v>
      </c>
      <c r="AH97" s="14">
        <f>C6*AH$91*$K$10</f>
        <v>77.896799999999999</v>
      </c>
      <c r="AI97" s="14">
        <f>D6*AI$91*$K$10</f>
        <v>26.486400000000003</v>
      </c>
      <c r="AJ97" s="14">
        <f>E6*AJ$91*$K$10</f>
        <v>7.9236000000000004</v>
      </c>
      <c r="AK97" s="13"/>
      <c r="AL97" s="14">
        <f>B6*AL$91</f>
        <v>6399</v>
      </c>
      <c r="AM97" s="14">
        <f>C6*AM$91</f>
        <v>698</v>
      </c>
      <c r="AN97" s="14">
        <f>D6*AN$91</f>
        <v>356</v>
      </c>
      <c r="AO97" s="14">
        <f>E6*AO$91</f>
        <v>71</v>
      </c>
      <c r="AP97" s="13"/>
      <c r="AQ97" s="13" t="s">
        <v>39</v>
      </c>
      <c r="AR97" s="34">
        <v>20</v>
      </c>
    </row>
    <row r="98" spans="1:44" x14ac:dyDescent="0.15">
      <c r="A98" s="13" t="s">
        <v>22</v>
      </c>
      <c r="B98" s="14">
        <f>H98+M98+R98+W98+AB98+AG98+AL98</f>
        <v>16433.698</v>
      </c>
      <c r="C98" s="14">
        <f>I98+N98+S98+X98+AC98+AH98+AM98</f>
        <v>3023.6585</v>
      </c>
      <c r="D98" s="14">
        <f>J98+O98+T98+Y98+AD98+AI98+AN98</f>
        <v>2007.2052000000001</v>
      </c>
      <c r="E98" s="14">
        <f>K98+P98+U98+Z98+AE98+AJ98+AO98</f>
        <v>290.77139999999997</v>
      </c>
      <c r="F98" s="19">
        <f>F7</f>
        <v>106</v>
      </c>
      <c r="G98" s="13"/>
      <c r="H98" s="14">
        <f>B7*H$91*$K$10</f>
        <v>1326.6264000000001</v>
      </c>
      <c r="I98" s="14">
        <f>C7*I$91*$K$10</f>
        <v>199.70820000000001</v>
      </c>
      <c r="J98" s="14">
        <f>D7*J$91*$K$10</f>
        <v>114.2505</v>
      </c>
      <c r="K98" s="14">
        <f>E7*K$91*$K$10</f>
        <v>18.972000000000001</v>
      </c>
      <c r="L98" s="13"/>
      <c r="M98" s="14">
        <f>B7*M$91*$K$10</f>
        <v>1507.53</v>
      </c>
      <c r="N98" s="14">
        <f>C7*N$91*$K$10</f>
        <v>310.65720000000005</v>
      </c>
      <c r="O98" s="14">
        <f>D7*O$91*$K$10</f>
        <v>266.58449999999999</v>
      </c>
      <c r="P98" s="14">
        <f>E7*P$91*$K$10</f>
        <v>37.944000000000003</v>
      </c>
      <c r="Q98" s="13"/>
      <c r="R98" s="14">
        <f>B7*R$91*$K$10</f>
        <v>2532.6504</v>
      </c>
      <c r="S98" s="14">
        <f>C7*S$91*$K$10</f>
        <v>499.27050000000003</v>
      </c>
      <c r="T98" s="14">
        <f>D7*T$91*$K$10</f>
        <v>289.43460000000005</v>
      </c>
      <c r="U98" s="14">
        <f>E7*U$91*$K$10</f>
        <v>47.43</v>
      </c>
      <c r="V98" s="13"/>
      <c r="W98" s="14">
        <f>B7*W$91*$K$10</f>
        <v>1206.0240000000003</v>
      </c>
      <c r="X98" s="14">
        <f>C7*X$91*$K$10</f>
        <v>244.08779999999999</v>
      </c>
      <c r="Y98" s="14">
        <f>D7*Y$91*$K$10</f>
        <v>213.26760000000004</v>
      </c>
      <c r="Z98" s="14">
        <f>E7*Z$91*$K$10</f>
        <v>30.355200000000004</v>
      </c>
      <c r="AA98" s="13"/>
      <c r="AB98" s="14">
        <f>B7*AB$91*$K$10</f>
        <v>2291.4456</v>
      </c>
      <c r="AC98" s="14">
        <f>C7*AC$91*$K$10</f>
        <v>443.79600000000005</v>
      </c>
      <c r="AD98" s="14">
        <f>D7*AD$91*$K$10</f>
        <v>243.73439999999999</v>
      </c>
      <c r="AE98" s="14">
        <f>E7*AE$91*$K$10</f>
        <v>42.686999999999998</v>
      </c>
      <c r="AF98" s="13"/>
      <c r="AG98" s="14">
        <f>B7*AG$91*$K$10</f>
        <v>1085.4215999999999</v>
      </c>
      <c r="AH98" s="14">
        <f>C7*AH$91*$K$10</f>
        <v>133.1388</v>
      </c>
      <c r="AI98" s="14">
        <f>D7*AI$91*$K$10</f>
        <v>60.933599999999998</v>
      </c>
      <c r="AJ98" s="14">
        <f>E7*AJ$91*$K$10</f>
        <v>11.3832</v>
      </c>
      <c r="AK98" s="13"/>
      <c r="AL98" s="14">
        <f>B7*AL$91</f>
        <v>6484</v>
      </c>
      <c r="AM98" s="14">
        <f>C7*AM$91</f>
        <v>1193</v>
      </c>
      <c r="AN98" s="14">
        <f>D7*AN$91</f>
        <v>819</v>
      </c>
      <c r="AO98" s="14">
        <f>E7*AO$91</f>
        <v>102</v>
      </c>
      <c r="AP98" s="13"/>
      <c r="AQ98" s="13" t="s">
        <v>45</v>
      </c>
      <c r="AR98" s="34">
        <v>80</v>
      </c>
    </row>
    <row r="99" spans="1:44" x14ac:dyDescent="0.15">
      <c r="A99" s="13" t="s">
        <v>24</v>
      </c>
      <c r="B99" s="14">
        <f>H99+M99+R99+W99+AB99+AG99+AL99</f>
        <v>15348.932000000001</v>
      </c>
      <c r="C99" s="14">
        <f>I99+N99+S99+X99+AC99+AH99+AM99</f>
        <v>1675.3045000000002</v>
      </c>
      <c r="D99" s="14">
        <f>J99+O99+T99+Y99+AD99+AI99+AN99</f>
        <v>659.26520000000005</v>
      </c>
      <c r="E99" s="14">
        <f>K99+P99+U99+Z99+AE99+AJ99+AO99</f>
        <v>248.01090000000002</v>
      </c>
      <c r="F99" s="19">
        <f>F8</f>
        <v>95</v>
      </c>
      <c r="G99" s="13"/>
      <c r="H99" s="14">
        <f>B8*H$91*$K$10</f>
        <v>1239.0576000000001</v>
      </c>
      <c r="I99" s="14">
        <f>C8*I$91*$K$10</f>
        <v>110.6514</v>
      </c>
      <c r="J99" s="14">
        <f>D8*J$91*$K$10</f>
        <v>37.525500000000001</v>
      </c>
      <c r="K99" s="14">
        <f>E8*K$91*$K$10</f>
        <v>16.182000000000002</v>
      </c>
      <c r="L99" s="13"/>
      <c r="M99" s="14">
        <f>B8*M$91*$K$10</f>
        <v>1408.02</v>
      </c>
      <c r="N99" s="14">
        <f>C8*N$91*$K$10</f>
        <v>172.12440000000001</v>
      </c>
      <c r="O99" s="14">
        <f>D8*O$91*$K$10</f>
        <v>87.5595</v>
      </c>
      <c r="P99" s="14">
        <f>E8*P$91*$K$10</f>
        <v>32.364000000000004</v>
      </c>
      <c r="Q99" s="13"/>
      <c r="R99" s="14">
        <f>B8*R$91*$K$10</f>
        <v>2365.4736000000003</v>
      </c>
      <c r="S99" s="14">
        <f>C8*S$91*$K$10</f>
        <v>276.62850000000003</v>
      </c>
      <c r="T99" s="14">
        <f>D8*T$91*$K$10</f>
        <v>95.064599999999999</v>
      </c>
      <c r="U99" s="14">
        <f>E8*U$91*$K$10</f>
        <v>40.455000000000005</v>
      </c>
      <c r="V99" s="13"/>
      <c r="W99" s="14">
        <f>B8*W$91*$K$10</f>
        <v>1126.4160000000002</v>
      </c>
      <c r="X99" s="14">
        <f>C8*X$91*$K$10</f>
        <v>135.2406</v>
      </c>
      <c r="Y99" s="14">
        <f>D8*Y$91*$K$10</f>
        <v>70.047600000000017</v>
      </c>
      <c r="Z99" s="14">
        <f>E8*Z$91*$K$10</f>
        <v>25.891200000000001</v>
      </c>
      <c r="AA99" s="13"/>
      <c r="AB99" s="14">
        <f>B8*AB$91*$K$10</f>
        <v>2140.1904000000004</v>
      </c>
      <c r="AC99" s="14">
        <f>C8*AC$91*$K$10</f>
        <v>245.89200000000005</v>
      </c>
      <c r="AD99" s="14">
        <f>D8*AD$91*$K$10</f>
        <v>80.054400000000001</v>
      </c>
      <c r="AE99" s="14">
        <f>E8*AE$91*$K$10</f>
        <v>36.409500000000001</v>
      </c>
      <c r="AF99" s="13"/>
      <c r="AG99" s="14">
        <f>B8*AG$91*$K$10</f>
        <v>1013.7744</v>
      </c>
      <c r="AH99" s="14">
        <f>C8*AH$91*$K$10</f>
        <v>73.767600000000002</v>
      </c>
      <c r="AI99" s="14">
        <f>D8*AI$91*$K$10</f>
        <v>20.0136</v>
      </c>
      <c r="AJ99" s="14">
        <f>E8*AJ$91*$K$10</f>
        <v>9.7091999999999992</v>
      </c>
      <c r="AK99" s="13"/>
      <c r="AL99" s="14">
        <f>B8*AL$91</f>
        <v>6056</v>
      </c>
      <c r="AM99" s="14">
        <f>C8*AM$91</f>
        <v>661</v>
      </c>
      <c r="AN99" s="14">
        <f>D8*AN$91</f>
        <v>269</v>
      </c>
      <c r="AO99" s="14">
        <f>E8*AO$91</f>
        <v>87</v>
      </c>
      <c r="AP99" s="13"/>
      <c r="AQ99" s="15" t="s">
        <v>95</v>
      </c>
      <c r="AR99" s="35">
        <f>SUM(AR92:AR98)</f>
        <v>300</v>
      </c>
    </row>
    <row r="100" spans="1:44" x14ac:dyDescent="0.15">
      <c r="A100" s="13" t="s">
        <v>26</v>
      </c>
      <c r="B100" s="14">
        <f>H100+M100+R100+W100+AB100+AG100+AL100</f>
        <v>17125.616500000004</v>
      </c>
      <c r="C100" s="14">
        <f>I100+N100+S100+X100+AC100+AH100+AM100</f>
        <v>2724.5875000000005</v>
      </c>
      <c r="D100" s="14">
        <f>J100+O100+T100+Y100+AD100+AI100+AN100</f>
        <v>1796.4364</v>
      </c>
      <c r="E100" s="14">
        <f>K100+P100+U100+Z100+AE100+AJ100+AO100</f>
        <v>322.12909999999999</v>
      </c>
      <c r="F100" s="19">
        <f>F9</f>
        <v>112</v>
      </c>
      <c r="G100" s="13"/>
      <c r="H100" s="14">
        <f>B9*H$91*$K$10</f>
        <v>1382.4822000000001</v>
      </c>
      <c r="I100" s="14">
        <f>C9*I$91*$K$10</f>
        <v>179.95500000000001</v>
      </c>
      <c r="J100" s="14">
        <f>D9*J$91*$K$10</f>
        <v>102.2535</v>
      </c>
      <c r="K100" s="14">
        <f>E9*K$91*$K$10</f>
        <v>21.018000000000001</v>
      </c>
      <c r="L100" s="13"/>
      <c r="M100" s="14">
        <f>B9*M$91*$K$10</f>
        <v>1571.0025000000001</v>
      </c>
      <c r="N100" s="14">
        <f>C9*N$91*$K$10</f>
        <v>279.93000000000006</v>
      </c>
      <c r="O100" s="14">
        <f>D9*O$91*$K$10</f>
        <v>238.59150000000002</v>
      </c>
      <c r="P100" s="14">
        <f>E9*P$91*$K$10</f>
        <v>42.036000000000001</v>
      </c>
      <c r="Q100" s="13"/>
      <c r="R100" s="14">
        <f>B9*R$91*$K$10</f>
        <v>2639.2842000000001</v>
      </c>
      <c r="S100" s="14">
        <f>C9*S$91*$K$10</f>
        <v>449.88750000000005</v>
      </c>
      <c r="T100" s="14">
        <f>D9*T$91*$K$10</f>
        <v>259.04220000000004</v>
      </c>
      <c r="U100" s="14">
        <f>E9*U$91*$K$10</f>
        <v>52.545000000000002</v>
      </c>
      <c r="V100" s="13"/>
      <c r="W100" s="14">
        <f>B9*W$91*$K$10</f>
        <v>1256.8020000000001</v>
      </c>
      <c r="X100" s="14">
        <f>C9*X$91*$K$10</f>
        <v>219.94500000000002</v>
      </c>
      <c r="Y100" s="14">
        <f>D9*Y$91*$K$10</f>
        <v>190.87320000000003</v>
      </c>
      <c r="Z100" s="14">
        <f>E9*Z$91*$K$10</f>
        <v>33.628800000000005</v>
      </c>
      <c r="AA100" s="13"/>
      <c r="AB100" s="14">
        <f>B9*AB$91*$K$10</f>
        <v>2387.9238</v>
      </c>
      <c r="AC100" s="14">
        <f>C9*AC$91*$K$10</f>
        <v>399.90000000000003</v>
      </c>
      <c r="AD100" s="14">
        <f>D9*AD$91*$K$10</f>
        <v>218.14080000000001</v>
      </c>
      <c r="AE100" s="14">
        <f>E9*AE$91*$K$10</f>
        <v>47.290500000000002</v>
      </c>
      <c r="AF100" s="13"/>
      <c r="AG100" s="14">
        <f>B9*AG$91*$K$10</f>
        <v>1131.1218000000001</v>
      </c>
      <c r="AH100" s="14">
        <f>C9*AH$91*$K$10</f>
        <v>119.97000000000001</v>
      </c>
      <c r="AI100" s="14">
        <f>D9*AI$91*$K$10</f>
        <v>54.535200000000003</v>
      </c>
      <c r="AJ100" s="14">
        <f>E9*AJ$91*$K$10</f>
        <v>12.610799999999999</v>
      </c>
      <c r="AK100" s="13"/>
      <c r="AL100" s="14">
        <f>B9*AL$91</f>
        <v>6757</v>
      </c>
      <c r="AM100" s="14">
        <f>C9*AM$91</f>
        <v>1075</v>
      </c>
      <c r="AN100" s="14">
        <f>D9*AN$91</f>
        <v>733</v>
      </c>
      <c r="AO100" s="14">
        <f>E9*AO$91</f>
        <v>113</v>
      </c>
      <c r="AP100" s="13"/>
      <c r="AQ100" s="13"/>
      <c r="AR100" s="13"/>
    </row>
    <row r="101" spans="1:44" x14ac:dyDescent="0.15">
      <c r="A101" s="13" t="s">
        <v>28</v>
      </c>
      <c r="B101" s="14">
        <f>H101+M101+R101+W101+AB101+AG101+AL101</f>
        <v>18717.282500000001</v>
      </c>
      <c r="C101" s="14">
        <f>I101+N101+S101+X101+AC101+AH101+AM101</f>
        <v>3272.0394999999999</v>
      </c>
      <c r="D101" s="14">
        <f>J101+O101+T101+Y101+AD101+AI101+AN101</f>
        <v>2534.1271999999999</v>
      </c>
      <c r="E101" s="14">
        <f>K101+P101+U101+Z101+AE101+AJ101+AO101</f>
        <v>299.32349999999997</v>
      </c>
      <c r="F101" s="19">
        <f>F10</f>
        <v>130</v>
      </c>
      <c r="G101" s="13"/>
      <c r="H101" s="14">
        <f>B10*H$91*$K$10</f>
        <v>1510.9710000000002</v>
      </c>
      <c r="I101" s="14">
        <f>C10*I$91*$K$10</f>
        <v>216.11340000000001</v>
      </c>
      <c r="J101" s="14">
        <f>D10*J$91*$K$10</f>
        <v>144.24299999999999</v>
      </c>
      <c r="K101" s="14">
        <f>E10*K$91*$K$10</f>
        <v>19.53</v>
      </c>
      <c r="L101" s="13"/>
      <c r="M101" s="14">
        <f>B10*M$91*$K$10</f>
        <v>1717.0125</v>
      </c>
      <c r="N101" s="14">
        <f>C10*N$91*$K$10</f>
        <v>336.17640000000006</v>
      </c>
      <c r="O101" s="14">
        <f>D10*O$91*$K$10</f>
        <v>336.56700000000001</v>
      </c>
      <c r="P101" s="14">
        <f>E10*P$91*$K$10</f>
        <v>39.06</v>
      </c>
      <c r="Q101" s="13"/>
      <c r="R101" s="14">
        <f>B10*R$91*$K$10</f>
        <v>2884.5810000000001</v>
      </c>
      <c r="S101" s="14">
        <f>C10*S$91*$K$10</f>
        <v>540.28350000000012</v>
      </c>
      <c r="T101" s="14">
        <f>D10*T$91*$K$10</f>
        <v>365.41560000000004</v>
      </c>
      <c r="U101" s="14">
        <f>E10*U$91*$K$10</f>
        <v>48.825000000000003</v>
      </c>
      <c r="V101" s="13"/>
      <c r="W101" s="14">
        <f>B10*W$91*$K$10</f>
        <v>1373.6100000000001</v>
      </c>
      <c r="X101" s="14">
        <f>C10*X$91*$K$10</f>
        <v>264.1386</v>
      </c>
      <c r="Y101" s="14">
        <f>D10*Y$91*$K$10</f>
        <v>269.25360000000006</v>
      </c>
      <c r="Z101" s="14">
        <f>E10*Z$91*$K$10</f>
        <v>31.248000000000005</v>
      </c>
      <c r="AA101" s="13"/>
      <c r="AB101" s="14">
        <f>B10*AB$91*$K$10</f>
        <v>2609.8590000000004</v>
      </c>
      <c r="AC101" s="14">
        <f>C10*AC$91*$K$10</f>
        <v>480.25200000000001</v>
      </c>
      <c r="AD101" s="14">
        <f>D10*AD$91*$K$10</f>
        <v>307.71840000000003</v>
      </c>
      <c r="AE101" s="14">
        <f>E10*AE$91*$K$10</f>
        <v>43.942500000000003</v>
      </c>
      <c r="AF101" s="13"/>
      <c r="AG101" s="14">
        <f>B10*AG$91*$K$10</f>
        <v>1236.249</v>
      </c>
      <c r="AH101" s="14">
        <f>C10*AH$91*$K$10</f>
        <v>144.07560000000001</v>
      </c>
      <c r="AI101" s="14">
        <f>D10*AI$91*$K$10</f>
        <v>76.929600000000008</v>
      </c>
      <c r="AJ101" s="14">
        <f>E10*AJ$91*$K$10</f>
        <v>11.718</v>
      </c>
      <c r="AK101" s="13"/>
      <c r="AL101" s="14">
        <f>B10*AL$91</f>
        <v>7385</v>
      </c>
      <c r="AM101" s="14">
        <f>C10*AM$91</f>
        <v>1291</v>
      </c>
      <c r="AN101" s="14">
        <f>D10*AN$91</f>
        <v>1034</v>
      </c>
      <c r="AO101" s="14">
        <f>E10*AO$91</f>
        <v>105</v>
      </c>
      <c r="AP101" s="13"/>
      <c r="AQ101" s="13"/>
      <c r="AR101" s="13"/>
    </row>
    <row r="102" spans="1:44" x14ac:dyDescent="0.15">
      <c r="A102" s="13" t="s">
        <v>30</v>
      </c>
      <c r="B102" s="14">
        <f>H102+M102+R102+W102+AB102+AG102+AL102</f>
        <v>18070.985000000001</v>
      </c>
      <c r="C102" s="14">
        <f>I102+N102+S102+X102+AC102+AH102+AM102</f>
        <v>2775.2775000000001</v>
      </c>
      <c r="D102" s="14">
        <f>J102+O102+T102+Y102+AD102+AI102+AN102</f>
        <v>1975.3448000000001</v>
      </c>
      <c r="E102" s="14">
        <f>K102+P102+U102+Z102+AE102+AJ102+AO102</f>
        <v>265.11510000000004</v>
      </c>
      <c r="F102" s="19">
        <f>F11</f>
        <v>121</v>
      </c>
      <c r="G102" s="13"/>
      <c r="H102" s="14">
        <f>B11*H$91*$K$10</f>
        <v>1458.798</v>
      </c>
      <c r="I102" s="14">
        <f>C11*I$91*$K$10</f>
        <v>183.303</v>
      </c>
      <c r="J102" s="14">
        <f>D11*J$91*$K$10</f>
        <v>112.437</v>
      </c>
      <c r="K102" s="14">
        <f>E11*K$91*$K$10</f>
        <v>17.298000000000002</v>
      </c>
      <c r="L102" s="13"/>
      <c r="M102" s="14">
        <f>B11*M$91*$K$10</f>
        <v>1657.7250000000001</v>
      </c>
      <c r="N102" s="14">
        <f>C11*N$91*$K$10</f>
        <v>285.13800000000003</v>
      </c>
      <c r="O102" s="14">
        <f>D11*O$91*$K$10</f>
        <v>262.35300000000001</v>
      </c>
      <c r="P102" s="14">
        <f>E11*P$91*$K$10</f>
        <v>34.596000000000004</v>
      </c>
      <c r="Q102" s="13"/>
      <c r="R102" s="14">
        <f>B11*R$91*$K$10</f>
        <v>2784.9780000000001</v>
      </c>
      <c r="S102" s="14">
        <f>C11*S$91*$K$10</f>
        <v>458.25750000000005</v>
      </c>
      <c r="T102" s="14">
        <f>D11*T$91*$K$10</f>
        <v>284.84040000000005</v>
      </c>
      <c r="U102" s="14">
        <f>E11*U$91*$K$10</f>
        <v>43.245000000000005</v>
      </c>
      <c r="V102" s="13"/>
      <c r="W102" s="14">
        <f>B11*W$91*$K$10</f>
        <v>1326.18</v>
      </c>
      <c r="X102" s="14">
        <f>C11*X$91*$K$10</f>
        <v>224.03700000000001</v>
      </c>
      <c r="Y102" s="14">
        <f>D11*Y$91*$K$10</f>
        <v>209.88240000000005</v>
      </c>
      <c r="Z102" s="14">
        <f>E11*Z$91*$K$10</f>
        <v>27.676800000000004</v>
      </c>
      <c r="AA102" s="13"/>
      <c r="AB102" s="14">
        <f>B11*AB$91*$K$10</f>
        <v>2519.7420000000002</v>
      </c>
      <c r="AC102" s="14">
        <f>C11*AC$91*$K$10</f>
        <v>407.34000000000003</v>
      </c>
      <c r="AD102" s="14">
        <f>D11*AD$91*$K$10</f>
        <v>239.86560000000003</v>
      </c>
      <c r="AE102" s="14">
        <f>E11*AE$91*$K$10</f>
        <v>38.920500000000004</v>
      </c>
      <c r="AF102" s="13"/>
      <c r="AG102" s="14">
        <f>B11*AG$91*$K$10</f>
        <v>1193.5619999999999</v>
      </c>
      <c r="AH102" s="14">
        <f>C11*AH$91*$K$10</f>
        <v>122.20200000000001</v>
      </c>
      <c r="AI102" s="14">
        <f>D11*AI$91*$K$10</f>
        <v>59.966400000000007</v>
      </c>
      <c r="AJ102" s="14">
        <f>E11*AJ$91*$K$10</f>
        <v>10.3788</v>
      </c>
      <c r="AK102" s="13"/>
      <c r="AL102" s="14">
        <f>B11*AL$91</f>
        <v>7130</v>
      </c>
      <c r="AM102" s="14">
        <f>C11*AM$91</f>
        <v>1095</v>
      </c>
      <c r="AN102" s="14">
        <f>D11*AN$91</f>
        <v>806</v>
      </c>
      <c r="AO102" s="14">
        <f>E11*AO$91</f>
        <v>93</v>
      </c>
      <c r="AP102" s="13"/>
      <c r="AQ102" s="13"/>
      <c r="AR102" s="13"/>
    </row>
    <row r="103" spans="1:44" x14ac:dyDescent="0.15">
      <c r="A103" s="13"/>
      <c r="B103" s="13"/>
      <c r="C103" s="13"/>
      <c r="D103" s="13"/>
      <c r="E103" s="13"/>
      <c r="F103" s="13"/>
      <c r="G103" s="13"/>
      <c r="H103" s="23">
        <v>0.18</v>
      </c>
      <c r="I103" s="23">
        <v>0.15</v>
      </c>
      <c r="J103" s="23">
        <v>0.12</v>
      </c>
      <c r="K103" s="23">
        <v>0.16</v>
      </c>
      <c r="L103" s="13"/>
      <c r="M103" s="25">
        <v>0.22</v>
      </c>
      <c r="N103" s="25">
        <v>0.24</v>
      </c>
      <c r="O103" s="25">
        <v>0.32</v>
      </c>
      <c r="P103" s="25">
        <v>0.35</v>
      </c>
      <c r="Q103" s="13"/>
      <c r="R103" s="27">
        <v>0.38</v>
      </c>
      <c r="S103" s="27">
        <v>0.4</v>
      </c>
      <c r="T103" s="27">
        <v>0.34</v>
      </c>
      <c r="U103" s="27">
        <v>0.44</v>
      </c>
      <c r="V103" s="13"/>
      <c r="W103" s="25">
        <v>0.14000000000000001</v>
      </c>
      <c r="X103" s="25">
        <v>0.15</v>
      </c>
      <c r="Y103" s="25">
        <v>0.18</v>
      </c>
      <c r="Z103" s="25">
        <v>0.2</v>
      </c>
      <c r="AA103" s="13"/>
      <c r="AB103" s="27">
        <v>0.24</v>
      </c>
      <c r="AC103" s="27">
        <v>0.26</v>
      </c>
      <c r="AD103" s="27">
        <v>0.2</v>
      </c>
      <c r="AE103" s="27">
        <v>0.28000000000000003</v>
      </c>
      <c r="AF103" s="13"/>
      <c r="AG103" s="29">
        <v>0.14000000000000001</v>
      </c>
      <c r="AH103" s="29">
        <v>0.1</v>
      </c>
      <c r="AI103" s="29">
        <v>0.08</v>
      </c>
      <c r="AJ103" s="29">
        <v>0.1</v>
      </c>
      <c r="AK103" s="13"/>
      <c r="AL103" s="31">
        <v>1</v>
      </c>
      <c r="AM103" s="31">
        <v>1</v>
      </c>
      <c r="AN103" s="31">
        <v>1</v>
      </c>
      <c r="AO103" s="31">
        <v>1</v>
      </c>
      <c r="AP103" s="13"/>
      <c r="AQ103" s="33" t="s">
        <v>114</v>
      </c>
      <c r="AR103" s="33"/>
    </row>
    <row r="104" spans="1:44" ht="14" x14ac:dyDescent="0.15">
      <c r="A104" s="36" t="s">
        <v>113</v>
      </c>
      <c r="B104" s="36"/>
      <c r="C104" s="36"/>
      <c r="D104" s="36"/>
      <c r="E104" s="36"/>
      <c r="F104" s="36"/>
      <c r="G104" s="13"/>
      <c r="H104" s="24" t="s">
        <v>82</v>
      </c>
      <c r="I104" s="24"/>
      <c r="J104" s="24"/>
      <c r="K104" s="24"/>
      <c r="L104" s="13"/>
      <c r="M104" s="26" t="s">
        <v>83</v>
      </c>
      <c r="N104" s="26"/>
      <c r="O104" s="26"/>
      <c r="P104" s="26"/>
      <c r="Q104" s="13"/>
      <c r="R104" s="28" t="s">
        <v>84</v>
      </c>
      <c r="S104" s="28"/>
      <c r="T104" s="28"/>
      <c r="U104" s="28"/>
      <c r="V104" s="13"/>
      <c r="W104" s="26" t="s">
        <v>85</v>
      </c>
      <c r="X104" s="26"/>
      <c r="Y104" s="26"/>
      <c r="Z104" s="26"/>
      <c r="AA104" s="13"/>
      <c r="AB104" s="28" t="s">
        <v>86</v>
      </c>
      <c r="AC104" s="28"/>
      <c r="AD104" s="28"/>
      <c r="AE104" s="28"/>
      <c r="AF104" s="13"/>
      <c r="AG104" s="30" t="s">
        <v>87</v>
      </c>
      <c r="AH104" s="30"/>
      <c r="AI104" s="30"/>
      <c r="AJ104" s="30"/>
      <c r="AK104" s="13"/>
      <c r="AL104" s="32" t="s">
        <v>112</v>
      </c>
      <c r="AM104" s="32"/>
      <c r="AN104" s="32"/>
      <c r="AO104" s="32"/>
      <c r="AP104" s="13"/>
      <c r="AQ104" s="13" t="s">
        <v>36</v>
      </c>
      <c r="AR104" s="34">
        <v>25</v>
      </c>
    </row>
    <row r="105" spans="1:44" x14ac:dyDescent="0.15">
      <c r="A105" s="17" t="s">
        <v>2</v>
      </c>
      <c r="B105" s="17" t="s">
        <v>3</v>
      </c>
      <c r="C105" s="17" t="s">
        <v>4</v>
      </c>
      <c r="D105" s="17" t="s">
        <v>5</v>
      </c>
      <c r="E105" s="17" t="s">
        <v>6</v>
      </c>
      <c r="F105" s="17" t="s">
        <v>7</v>
      </c>
      <c r="G105" s="13"/>
      <c r="H105" s="17" t="s">
        <v>3</v>
      </c>
      <c r="I105" s="17" t="s">
        <v>4</v>
      </c>
      <c r="J105" s="17" t="s">
        <v>5</v>
      </c>
      <c r="K105" s="17" t="s">
        <v>6</v>
      </c>
      <c r="L105" s="13"/>
      <c r="M105" s="17" t="s">
        <v>3</v>
      </c>
      <c r="N105" s="17" t="s">
        <v>4</v>
      </c>
      <c r="O105" s="17" t="s">
        <v>5</v>
      </c>
      <c r="P105" s="17" t="s">
        <v>6</v>
      </c>
      <c r="Q105" s="13"/>
      <c r="R105" s="17" t="s">
        <v>3</v>
      </c>
      <c r="S105" s="17" t="s">
        <v>4</v>
      </c>
      <c r="T105" s="17" t="s">
        <v>5</v>
      </c>
      <c r="U105" s="17" t="s">
        <v>6</v>
      </c>
      <c r="V105" s="13"/>
      <c r="W105" s="17" t="s">
        <v>3</v>
      </c>
      <c r="X105" s="17" t="s">
        <v>4</v>
      </c>
      <c r="Y105" s="17" t="s">
        <v>5</v>
      </c>
      <c r="Z105" s="17" t="s">
        <v>6</v>
      </c>
      <c r="AA105" s="13"/>
      <c r="AB105" s="17" t="s">
        <v>3</v>
      </c>
      <c r="AC105" s="17" t="s">
        <v>4</v>
      </c>
      <c r="AD105" s="17" t="s">
        <v>5</v>
      </c>
      <c r="AE105" s="17" t="s">
        <v>6</v>
      </c>
      <c r="AF105" s="13"/>
      <c r="AG105" s="17" t="s">
        <v>3</v>
      </c>
      <c r="AH105" s="17" t="s">
        <v>4</v>
      </c>
      <c r="AI105" s="17" t="s">
        <v>5</v>
      </c>
      <c r="AJ105" s="17" t="s">
        <v>6</v>
      </c>
      <c r="AK105" s="13"/>
      <c r="AL105" s="17" t="s">
        <v>3</v>
      </c>
      <c r="AM105" s="17" t="s">
        <v>4</v>
      </c>
      <c r="AN105" s="17" t="s">
        <v>5</v>
      </c>
      <c r="AO105" s="17" t="s">
        <v>6</v>
      </c>
      <c r="AP105" s="13"/>
      <c r="AQ105" s="13" t="s">
        <v>91</v>
      </c>
      <c r="AR105" s="34">
        <v>25</v>
      </c>
    </row>
    <row r="106" spans="1:44" x14ac:dyDescent="0.15">
      <c r="A106" s="13" t="s">
        <v>14</v>
      </c>
      <c r="B106" s="14">
        <f>H106+M106+R106+W106+AB106+AG106+AL106</f>
        <v>12939.800000000001</v>
      </c>
      <c r="C106" s="14">
        <f>I106+N106+S106+X106+AC106+AH106+AM106</f>
        <v>899.3</v>
      </c>
      <c r="D106" s="14">
        <f>J106+O106+T106+Y106+AD106+AI106+AN106</f>
        <v>224</v>
      </c>
      <c r="E106" s="14">
        <f>K106+P106+U106+Z106+AE106+AJ106+AO106</f>
        <v>78.430000000000007</v>
      </c>
      <c r="F106" s="19">
        <f>F3</f>
        <v>85</v>
      </c>
      <c r="G106" s="13"/>
      <c r="H106" s="14">
        <f>B3*H$103*$K$11</f>
        <v>1012.68</v>
      </c>
      <c r="I106" s="14">
        <f>C3*I$103*$K$11</f>
        <v>58.65</v>
      </c>
      <c r="J106" s="14">
        <f>D3*J$103*$K$11</f>
        <v>12</v>
      </c>
      <c r="K106" s="14">
        <f>E3*K$103*$K$11</f>
        <v>4.96</v>
      </c>
      <c r="L106" s="13"/>
      <c r="M106" s="14">
        <f>B3*M$103*$K$11</f>
        <v>1237.72</v>
      </c>
      <c r="N106" s="14">
        <f>C3*N$103*$K$11</f>
        <v>93.84</v>
      </c>
      <c r="O106" s="14">
        <f>D3*O$103*$K$11</f>
        <v>32</v>
      </c>
      <c r="P106" s="14">
        <f>E3*P$103*$K$11</f>
        <v>10.85</v>
      </c>
      <c r="Q106" s="13"/>
      <c r="R106" s="14">
        <f>B3*R$103*$K$11</f>
        <v>2137.88</v>
      </c>
      <c r="S106" s="14">
        <f>C3*S$103*$K$11</f>
        <v>156.4</v>
      </c>
      <c r="T106" s="14">
        <f>D3*T$103*$K$11</f>
        <v>34</v>
      </c>
      <c r="U106" s="14">
        <f>E3*U$103*$K$11</f>
        <v>13.64</v>
      </c>
      <c r="V106" s="13"/>
      <c r="W106" s="14">
        <f>B3*W$103*$K$11</f>
        <v>787.6400000000001</v>
      </c>
      <c r="X106" s="14">
        <f>C3*X$103*$K$11</f>
        <v>58.65</v>
      </c>
      <c r="Y106" s="14">
        <f>D3*Y$103*$K$11</f>
        <v>18</v>
      </c>
      <c r="Z106" s="14">
        <f>E3*Z$103*$K$11</f>
        <v>6.2</v>
      </c>
      <c r="AA106" s="13"/>
      <c r="AB106" s="14">
        <f>B3*AB$103*$K$11</f>
        <v>1350.24</v>
      </c>
      <c r="AC106" s="14">
        <f>C3*AC$103*$K$11</f>
        <v>101.66</v>
      </c>
      <c r="AD106" s="14">
        <f>D3*AD$103*$K$11</f>
        <v>20</v>
      </c>
      <c r="AE106" s="14">
        <f>E3*AE$103*$K$11</f>
        <v>8.6800000000000015</v>
      </c>
      <c r="AF106" s="13"/>
      <c r="AG106" s="14">
        <f>B3*AG$103*$K$11</f>
        <v>787.6400000000001</v>
      </c>
      <c r="AH106" s="14">
        <f>C3*AH$103*$K$11</f>
        <v>39.1</v>
      </c>
      <c r="AI106" s="14">
        <f>D3*AI$103*$K$11</f>
        <v>8</v>
      </c>
      <c r="AJ106" s="14">
        <f>E3*AJ$103*$K$11</f>
        <v>3.1</v>
      </c>
      <c r="AK106" s="13"/>
      <c r="AL106" s="14">
        <f>B3*AL$103</f>
        <v>5626</v>
      </c>
      <c r="AM106" s="14">
        <f>C3*AM$103</f>
        <v>391</v>
      </c>
      <c r="AN106" s="14">
        <f>D3*AN$103</f>
        <v>100</v>
      </c>
      <c r="AO106" s="14">
        <f>E3*AO$103</f>
        <v>31</v>
      </c>
      <c r="AP106" s="13"/>
      <c r="AQ106" s="13" t="s">
        <v>92</v>
      </c>
      <c r="AR106" s="34">
        <v>55</v>
      </c>
    </row>
    <row r="107" spans="1:44" x14ac:dyDescent="0.15">
      <c r="A107" s="13" t="s">
        <v>15</v>
      </c>
      <c r="B107" s="14">
        <f>H107+M107+R107+W107+AB107+AG107+AL107</f>
        <v>12620.100000000002</v>
      </c>
      <c r="C107" s="14">
        <f>I107+N107+S107+X107+AC107+AH107+AM107</f>
        <v>837.2</v>
      </c>
      <c r="D107" s="14">
        <f>J107+O107+T107+Y107+AD107+AI107+AN107</f>
        <v>313.60000000000002</v>
      </c>
      <c r="E107" s="14">
        <f>K107+P107+U107+Z107+AE107+AJ107+AO107</f>
        <v>75.900000000000006</v>
      </c>
      <c r="F107" s="19">
        <f>F4</f>
        <v>81</v>
      </c>
      <c r="G107" s="13"/>
      <c r="H107" s="14">
        <f>B4*H$103*$K$11</f>
        <v>987.66</v>
      </c>
      <c r="I107" s="14">
        <f>C4*I$103*$K$11</f>
        <v>54.6</v>
      </c>
      <c r="J107" s="14">
        <f>D4*J$103*$K$11</f>
        <v>16.8</v>
      </c>
      <c r="K107" s="14">
        <f>E4*K$103*$K$11</f>
        <v>4.8</v>
      </c>
      <c r="L107" s="13"/>
      <c r="M107" s="14">
        <f>B4*M$103*$K$11</f>
        <v>1207.1400000000001</v>
      </c>
      <c r="N107" s="14">
        <f>C4*N$103*$K$11</f>
        <v>87.36</v>
      </c>
      <c r="O107" s="14">
        <f>D4*O$103*$K$11</f>
        <v>44.800000000000004</v>
      </c>
      <c r="P107" s="14">
        <f>E4*P$103*$K$11</f>
        <v>10.5</v>
      </c>
      <c r="Q107" s="13"/>
      <c r="R107" s="14">
        <f>B4*R$103*$K$11</f>
        <v>2085.06</v>
      </c>
      <c r="S107" s="14">
        <f>C4*S$103*$K$11</f>
        <v>145.6</v>
      </c>
      <c r="T107" s="14">
        <f>D4*T$103*$K$11</f>
        <v>47.6</v>
      </c>
      <c r="U107" s="14">
        <f>E4*U$103*$K$11</f>
        <v>13.2</v>
      </c>
      <c r="V107" s="13"/>
      <c r="W107" s="14">
        <f>B4*W$103*$K$11</f>
        <v>768.18000000000006</v>
      </c>
      <c r="X107" s="14">
        <f>C4*X$103*$K$11</f>
        <v>54.6</v>
      </c>
      <c r="Y107" s="14">
        <f>D4*Y$103*$K$11</f>
        <v>25.2</v>
      </c>
      <c r="Z107" s="14">
        <f>E4*Z$103*$K$11</f>
        <v>6</v>
      </c>
      <c r="AA107" s="13"/>
      <c r="AB107" s="14">
        <f>B4*AB$103*$K$11</f>
        <v>1316.8799999999999</v>
      </c>
      <c r="AC107" s="14">
        <f>C4*AC$103*$K$11</f>
        <v>94.64</v>
      </c>
      <c r="AD107" s="14">
        <f>D4*AD$103*$K$11</f>
        <v>28</v>
      </c>
      <c r="AE107" s="14">
        <f>E4*AE$103*$K$11</f>
        <v>8.4</v>
      </c>
      <c r="AF107" s="13"/>
      <c r="AG107" s="14">
        <f>B4*AG$103*$K$11</f>
        <v>768.18000000000006</v>
      </c>
      <c r="AH107" s="14">
        <f>C4*AH$103*$K$11</f>
        <v>36.4</v>
      </c>
      <c r="AI107" s="14">
        <f>D4*AI$103*$K$11</f>
        <v>11.200000000000001</v>
      </c>
      <c r="AJ107" s="14">
        <f>E4*AJ$103*$K$11</f>
        <v>3</v>
      </c>
      <c r="AK107" s="13"/>
      <c r="AL107" s="14">
        <f>B4*AL$103</f>
        <v>5487</v>
      </c>
      <c r="AM107" s="14">
        <f>C4*AM$103</f>
        <v>364</v>
      </c>
      <c r="AN107" s="14">
        <f>D4*AN$103</f>
        <v>140</v>
      </c>
      <c r="AO107" s="14">
        <f>E4*AO$103</f>
        <v>30</v>
      </c>
      <c r="AP107" s="13"/>
      <c r="AQ107" s="13" t="s">
        <v>93</v>
      </c>
      <c r="AR107" s="34">
        <v>20</v>
      </c>
    </row>
    <row r="108" spans="1:44" x14ac:dyDescent="0.15">
      <c r="A108" s="13" t="s">
        <v>18</v>
      </c>
      <c r="B108" s="14">
        <f>H108+M108+R108+W108+AB108+AG108+AL108</f>
        <v>14510.7</v>
      </c>
      <c r="C108" s="14">
        <f>I108+N108+S108+X108+AC108+AH108+AM108</f>
        <v>1294.9000000000001</v>
      </c>
      <c r="D108" s="14">
        <f>J108+O108+T108+Y108+AD108+AI108+AN108</f>
        <v>636.16</v>
      </c>
      <c r="E108" s="14">
        <f>K108+P108+U108+Z108+AE108+AJ108+AO108</f>
        <v>134.08999999999997</v>
      </c>
      <c r="F108" s="19">
        <f>F5</f>
        <v>103</v>
      </c>
      <c r="G108" s="13"/>
      <c r="H108" s="14">
        <f>B5*H$103*$K$11</f>
        <v>1135.6199999999999</v>
      </c>
      <c r="I108" s="14">
        <f>C5*I$103*$K$11</f>
        <v>84.45</v>
      </c>
      <c r="J108" s="14">
        <f>D5*J$103*$K$11</f>
        <v>34.08</v>
      </c>
      <c r="K108" s="14">
        <f>E5*K$103*$K$11</f>
        <v>8.48</v>
      </c>
      <c r="L108" s="13"/>
      <c r="M108" s="14">
        <f>B5*M$103*$K$11</f>
        <v>1387.98</v>
      </c>
      <c r="N108" s="14">
        <f>C5*N$103*$K$11</f>
        <v>135.12</v>
      </c>
      <c r="O108" s="14">
        <f>D5*O$103*$K$11</f>
        <v>90.88</v>
      </c>
      <c r="P108" s="14">
        <f>E5*P$103*$K$11</f>
        <v>18.549999999999997</v>
      </c>
      <c r="Q108" s="13"/>
      <c r="R108" s="14">
        <f>B5*R$103*$K$11</f>
        <v>2397.42</v>
      </c>
      <c r="S108" s="14">
        <f>C5*S$103*$K$11</f>
        <v>225.20000000000002</v>
      </c>
      <c r="T108" s="14">
        <f>D5*T$103*$K$11</f>
        <v>96.56</v>
      </c>
      <c r="U108" s="14">
        <f>E5*U$103*$K$11</f>
        <v>23.32</v>
      </c>
      <c r="V108" s="13"/>
      <c r="W108" s="14">
        <f>B5*W$103*$K$11</f>
        <v>883.2600000000001</v>
      </c>
      <c r="X108" s="14">
        <f>C5*X$103*$K$11</f>
        <v>84.45</v>
      </c>
      <c r="Y108" s="14">
        <f>D5*Y$103*$K$11</f>
        <v>51.12</v>
      </c>
      <c r="Z108" s="14">
        <f>E5*Z$103*$K$11</f>
        <v>10.600000000000001</v>
      </c>
      <c r="AA108" s="13"/>
      <c r="AB108" s="14">
        <f>B5*AB$103*$K$11</f>
        <v>1514.1599999999999</v>
      </c>
      <c r="AC108" s="14">
        <f>C5*AC$103*$K$11</f>
        <v>146.38</v>
      </c>
      <c r="AD108" s="14">
        <f>D5*AD$103*$K$11</f>
        <v>56.800000000000004</v>
      </c>
      <c r="AE108" s="14">
        <f>E5*AE$103*$K$11</f>
        <v>14.840000000000002</v>
      </c>
      <c r="AF108" s="13"/>
      <c r="AG108" s="14">
        <f>B5*AG$103*$K$11</f>
        <v>883.2600000000001</v>
      </c>
      <c r="AH108" s="14">
        <f>C5*AH$103*$K$11</f>
        <v>56.300000000000004</v>
      </c>
      <c r="AI108" s="14">
        <f>D5*AI$103*$K$11</f>
        <v>22.72</v>
      </c>
      <c r="AJ108" s="14">
        <f>E5*AJ$103*$K$11</f>
        <v>5.3000000000000007</v>
      </c>
      <c r="AK108" s="13"/>
      <c r="AL108" s="14">
        <f>B5*AL$103</f>
        <v>6309</v>
      </c>
      <c r="AM108" s="14">
        <f>C5*AM$103</f>
        <v>563</v>
      </c>
      <c r="AN108" s="14">
        <f>D5*AN$103</f>
        <v>284</v>
      </c>
      <c r="AO108" s="14">
        <f>E5*AO$103</f>
        <v>53</v>
      </c>
      <c r="AP108" s="13"/>
      <c r="AQ108" s="13" t="s">
        <v>94</v>
      </c>
      <c r="AR108" s="34">
        <v>40</v>
      </c>
    </row>
    <row r="109" spans="1:44" x14ac:dyDescent="0.15">
      <c r="A109" s="13" t="s">
        <v>20</v>
      </c>
      <c r="B109" s="14">
        <f>H109+M109+R109+W109+AB109+AG109+AL109</f>
        <v>14717.7</v>
      </c>
      <c r="C109" s="14">
        <f>I109+N109+S109+X109+AC109+AH109+AM109</f>
        <v>1605.4</v>
      </c>
      <c r="D109" s="14">
        <f>J109+O109+T109+Y109+AD109+AI109+AN109</f>
        <v>797.44</v>
      </c>
      <c r="E109" s="14">
        <f>K109+P109+U109+Z109+AE109+AJ109+AO109</f>
        <v>179.63</v>
      </c>
      <c r="F109" s="19">
        <f>F6</f>
        <v>106</v>
      </c>
      <c r="G109" s="13"/>
      <c r="H109" s="14">
        <f>B6*H$103*$K$11</f>
        <v>1151.82</v>
      </c>
      <c r="I109" s="14">
        <f>C6*I$103*$K$11</f>
        <v>104.7</v>
      </c>
      <c r="J109" s="14">
        <f>D6*J$103*$K$11</f>
        <v>42.72</v>
      </c>
      <c r="K109" s="14">
        <f>E6*K$103*$K$11</f>
        <v>11.36</v>
      </c>
      <c r="L109" s="13"/>
      <c r="M109" s="14">
        <f>B6*M$103*$K$11</f>
        <v>1407.78</v>
      </c>
      <c r="N109" s="14">
        <f>C6*N$103*$K$11</f>
        <v>167.51999999999998</v>
      </c>
      <c r="O109" s="14">
        <f>D6*O$103*$K$11</f>
        <v>113.92</v>
      </c>
      <c r="P109" s="14">
        <f>E6*P$103*$K$11</f>
        <v>24.849999999999998</v>
      </c>
      <c r="Q109" s="13"/>
      <c r="R109" s="14">
        <f>B6*R$103*$K$11</f>
        <v>2431.62</v>
      </c>
      <c r="S109" s="14">
        <f>C6*S$103*$K$11</f>
        <v>279.2</v>
      </c>
      <c r="T109" s="14">
        <f>D6*T$103*$K$11</f>
        <v>121.04</v>
      </c>
      <c r="U109" s="14">
        <f>E6*U$103*$K$11</f>
        <v>31.24</v>
      </c>
      <c r="V109" s="13"/>
      <c r="W109" s="14">
        <f>B6*W$103*$K$11</f>
        <v>895.86000000000013</v>
      </c>
      <c r="X109" s="14">
        <f>C6*X$103*$K$11</f>
        <v>104.7</v>
      </c>
      <c r="Y109" s="14">
        <f>D6*Y$103*$K$11</f>
        <v>64.08</v>
      </c>
      <c r="Z109" s="14">
        <f>E6*Z$103*$K$11</f>
        <v>14.200000000000001</v>
      </c>
      <c r="AA109" s="13"/>
      <c r="AB109" s="14">
        <f>B6*AB$103*$K$11</f>
        <v>1535.76</v>
      </c>
      <c r="AC109" s="14">
        <f>C6*AC$103*$K$11</f>
        <v>181.48000000000002</v>
      </c>
      <c r="AD109" s="14">
        <f>D6*AD$103*$K$11</f>
        <v>71.2</v>
      </c>
      <c r="AE109" s="14">
        <f>E6*AE$103*$K$11</f>
        <v>19.880000000000003</v>
      </c>
      <c r="AF109" s="13"/>
      <c r="AG109" s="14">
        <f>B6*AG$103*$K$11</f>
        <v>895.86000000000013</v>
      </c>
      <c r="AH109" s="14">
        <f>C6*AH$103*$K$11</f>
        <v>69.8</v>
      </c>
      <c r="AI109" s="14">
        <f>D6*AI$103*$K$11</f>
        <v>28.48</v>
      </c>
      <c r="AJ109" s="14">
        <f>E6*AJ$103*$K$11</f>
        <v>7.1000000000000005</v>
      </c>
      <c r="AK109" s="13"/>
      <c r="AL109" s="14">
        <f>B6*AL$103</f>
        <v>6399</v>
      </c>
      <c r="AM109" s="14">
        <f>C6*AM$103</f>
        <v>698</v>
      </c>
      <c r="AN109" s="14">
        <f>D6*AN$103</f>
        <v>356</v>
      </c>
      <c r="AO109" s="14">
        <f>E6*AO$103</f>
        <v>71</v>
      </c>
      <c r="AP109" s="13"/>
      <c r="AQ109" s="13" t="s">
        <v>39</v>
      </c>
      <c r="AR109" s="34">
        <v>20</v>
      </c>
    </row>
    <row r="110" spans="1:44" x14ac:dyDescent="0.15">
      <c r="A110" s="13" t="s">
        <v>22</v>
      </c>
      <c r="B110" s="14">
        <f>H110+M110+R110+W110+AB110+AG110+AL110</f>
        <v>14913.2</v>
      </c>
      <c r="C110" s="14">
        <f>I110+N110+S110+X110+AC110+AH110+AM110</f>
        <v>2743.9</v>
      </c>
      <c r="D110" s="14">
        <f>J110+O110+T110+Y110+AD110+AI110+AN110</f>
        <v>1834.56</v>
      </c>
      <c r="E110" s="14">
        <f>K110+P110+U110+Z110+AE110+AJ110+AO110</f>
        <v>258.06</v>
      </c>
      <c r="F110" s="19">
        <f>F7</f>
        <v>106</v>
      </c>
      <c r="G110" s="13"/>
      <c r="H110" s="14">
        <f>B7*H$103*$K$11</f>
        <v>1167.1199999999999</v>
      </c>
      <c r="I110" s="14">
        <f>C7*I$103*$K$11</f>
        <v>178.95</v>
      </c>
      <c r="J110" s="14">
        <f>D7*J$103*$K$11</f>
        <v>98.28</v>
      </c>
      <c r="K110" s="14">
        <f>E7*K$103*$K$11</f>
        <v>16.32</v>
      </c>
      <c r="L110" s="13"/>
      <c r="M110" s="14">
        <f>B7*M$103*$K$11</f>
        <v>1426.48</v>
      </c>
      <c r="N110" s="14">
        <f>C7*N$103*$K$11</f>
        <v>286.32</v>
      </c>
      <c r="O110" s="14">
        <f>D7*O$103*$K$11</f>
        <v>262.08</v>
      </c>
      <c r="P110" s="14">
        <f>E7*P$103*$K$11</f>
        <v>35.699999999999996</v>
      </c>
      <c r="Q110" s="13"/>
      <c r="R110" s="14">
        <f>B7*R$103*$K$11</f>
        <v>2463.92</v>
      </c>
      <c r="S110" s="14">
        <f>C7*S$103*$K$11</f>
        <v>477.20000000000005</v>
      </c>
      <c r="T110" s="14">
        <f>D7*T$103*$K$11</f>
        <v>278.46000000000004</v>
      </c>
      <c r="U110" s="14">
        <f>E7*U$103*$K$11</f>
        <v>44.88</v>
      </c>
      <c r="V110" s="13"/>
      <c r="W110" s="14">
        <f>B7*W$103*$K$11</f>
        <v>907.7600000000001</v>
      </c>
      <c r="X110" s="14">
        <f>C7*X$103*$K$11</f>
        <v>178.95</v>
      </c>
      <c r="Y110" s="14">
        <f>D7*Y$103*$K$11</f>
        <v>147.41999999999999</v>
      </c>
      <c r="Z110" s="14">
        <f>E7*Z$103*$K$11</f>
        <v>20.400000000000002</v>
      </c>
      <c r="AA110" s="13"/>
      <c r="AB110" s="14">
        <f>B7*AB$103*$K$11</f>
        <v>1556.1599999999999</v>
      </c>
      <c r="AC110" s="14">
        <f>C7*AC$103*$K$11</f>
        <v>310.18</v>
      </c>
      <c r="AD110" s="14">
        <f>D7*AD$103*$K$11</f>
        <v>163.80000000000001</v>
      </c>
      <c r="AE110" s="14">
        <f>E7*AE$103*$K$11</f>
        <v>28.560000000000002</v>
      </c>
      <c r="AF110" s="13"/>
      <c r="AG110" s="14">
        <f>B7*AG$103*$K$11</f>
        <v>907.7600000000001</v>
      </c>
      <c r="AH110" s="14">
        <f>C7*AH$103*$K$11</f>
        <v>119.30000000000001</v>
      </c>
      <c r="AI110" s="14">
        <f>D7*AI$103*$K$11</f>
        <v>65.52</v>
      </c>
      <c r="AJ110" s="14">
        <f>E7*AJ$103*$K$11</f>
        <v>10.200000000000001</v>
      </c>
      <c r="AK110" s="13"/>
      <c r="AL110" s="14">
        <f>B7*AL$103</f>
        <v>6484</v>
      </c>
      <c r="AM110" s="14">
        <f>C7*AM$103</f>
        <v>1193</v>
      </c>
      <c r="AN110" s="14">
        <f>D7*AN$103</f>
        <v>819</v>
      </c>
      <c r="AO110" s="14">
        <f>E7*AO$103</f>
        <v>102</v>
      </c>
      <c r="AP110" s="13"/>
      <c r="AQ110" s="13" t="s">
        <v>45</v>
      </c>
      <c r="AR110" s="34">
        <v>80</v>
      </c>
    </row>
    <row r="111" spans="1:44" x14ac:dyDescent="0.15">
      <c r="A111" s="13" t="s">
        <v>24</v>
      </c>
      <c r="B111" s="14">
        <f>H111+M111+R111+W111+AB111+AG111+AL111</f>
        <v>13928.800000000001</v>
      </c>
      <c r="C111" s="14">
        <f>I111+N111+S111+X111+AC111+AH111+AM111</f>
        <v>1520.3000000000002</v>
      </c>
      <c r="D111" s="14">
        <f>J111+O111+T111+Y111+AD111+AI111+AN111</f>
        <v>602.55999999999995</v>
      </c>
      <c r="E111" s="14">
        <f>K111+P111+U111+Z111+AE111+AJ111+AO111</f>
        <v>220.11</v>
      </c>
      <c r="F111" s="19">
        <f>F8</f>
        <v>95</v>
      </c>
      <c r="G111" s="13"/>
      <c r="H111" s="14">
        <f>B8*H$103*$K$11</f>
        <v>1090.08</v>
      </c>
      <c r="I111" s="14">
        <f>C8*I$103*$K$11</f>
        <v>99.149999999999991</v>
      </c>
      <c r="J111" s="14">
        <f>D8*J$103*$K$11</f>
        <v>32.28</v>
      </c>
      <c r="K111" s="14">
        <f>E8*K$103*$K$11</f>
        <v>13.92</v>
      </c>
      <c r="L111" s="13"/>
      <c r="M111" s="14">
        <f>B8*M$103*$K$11</f>
        <v>1332.32</v>
      </c>
      <c r="N111" s="14">
        <f>C8*N$103*$K$11</f>
        <v>158.63999999999999</v>
      </c>
      <c r="O111" s="14">
        <f>D8*O$103*$K$11</f>
        <v>86.08</v>
      </c>
      <c r="P111" s="14">
        <f>E8*P$103*$K$11</f>
        <v>30.45</v>
      </c>
      <c r="Q111" s="13"/>
      <c r="R111" s="14">
        <f>B8*R$103*$K$11</f>
        <v>2301.2800000000002</v>
      </c>
      <c r="S111" s="14">
        <f>C8*S$103*$K$11</f>
        <v>264.40000000000003</v>
      </c>
      <c r="T111" s="14">
        <f>D8*T$103*$K$11</f>
        <v>91.460000000000008</v>
      </c>
      <c r="U111" s="14">
        <f>E8*U$103*$K$11</f>
        <v>38.28</v>
      </c>
      <c r="V111" s="13"/>
      <c r="W111" s="14">
        <f>B8*W$103*$K$11</f>
        <v>847.84</v>
      </c>
      <c r="X111" s="14">
        <f>C8*X$103*$K$11</f>
        <v>99.149999999999991</v>
      </c>
      <c r="Y111" s="14">
        <f>D8*Y$103*$K$11</f>
        <v>48.42</v>
      </c>
      <c r="Z111" s="14">
        <f>E8*Z$103*$K$11</f>
        <v>17.400000000000002</v>
      </c>
      <c r="AA111" s="13"/>
      <c r="AB111" s="14">
        <f>B8*AB$103*$K$11</f>
        <v>1453.44</v>
      </c>
      <c r="AC111" s="14">
        <f>C8*AC$103*$K$11</f>
        <v>171.86</v>
      </c>
      <c r="AD111" s="14">
        <f>D8*AD$103*$K$11</f>
        <v>53.800000000000004</v>
      </c>
      <c r="AE111" s="14">
        <f>E8*AE$103*$K$11</f>
        <v>24.360000000000003</v>
      </c>
      <c r="AF111" s="13"/>
      <c r="AG111" s="14">
        <f>B8*AG$103*$K$11</f>
        <v>847.84</v>
      </c>
      <c r="AH111" s="14">
        <f>C8*AH$103*$K$11</f>
        <v>66.100000000000009</v>
      </c>
      <c r="AI111" s="14">
        <f>D8*AI$103*$K$11</f>
        <v>21.52</v>
      </c>
      <c r="AJ111" s="14">
        <f>E8*AJ$103*$K$11</f>
        <v>8.7000000000000011</v>
      </c>
      <c r="AK111" s="13"/>
      <c r="AL111" s="14">
        <f>B8*AL$103</f>
        <v>6056</v>
      </c>
      <c r="AM111" s="14">
        <f>C8*AM$103</f>
        <v>661</v>
      </c>
      <c r="AN111" s="14">
        <f>D8*AN$103</f>
        <v>269</v>
      </c>
      <c r="AO111" s="14">
        <f>E8*AO$103</f>
        <v>87</v>
      </c>
      <c r="AP111" s="13"/>
      <c r="AQ111" s="15" t="s">
        <v>95</v>
      </c>
      <c r="AR111" s="35">
        <f>SUM(AR104:AR110)</f>
        <v>265</v>
      </c>
    </row>
    <row r="112" spans="1:44" x14ac:dyDescent="0.15">
      <c r="A112" s="13" t="s">
        <v>26</v>
      </c>
      <c r="B112" s="14">
        <f>H112+M112+R112+W112+AB112+AG112+AL112</f>
        <v>15541.1</v>
      </c>
      <c r="C112" s="14">
        <f>I112+N112+S112+X112+AC112+AH112+AM112</f>
        <v>2472.5</v>
      </c>
      <c r="D112" s="14">
        <f>J112+O112+T112+Y112+AD112+AI112+AN112</f>
        <v>1641.92</v>
      </c>
      <c r="E112" s="14">
        <f>K112+P112+U112+Z112+AE112+AJ112+AO112</f>
        <v>285.89</v>
      </c>
      <c r="F112" s="19">
        <f>F9</f>
        <v>112</v>
      </c>
      <c r="G112" s="13"/>
      <c r="H112" s="14">
        <f>B9*H$103*$K$11</f>
        <v>1216.26</v>
      </c>
      <c r="I112" s="14">
        <f>C9*I$103*$K$11</f>
        <v>161.25</v>
      </c>
      <c r="J112" s="14">
        <f>D9*J$103*$K$11</f>
        <v>87.96</v>
      </c>
      <c r="K112" s="14">
        <f>E9*K$103*$K$11</f>
        <v>18.080000000000002</v>
      </c>
      <c r="L112" s="13"/>
      <c r="M112" s="14">
        <f>B9*M$103*$K$11</f>
        <v>1486.54</v>
      </c>
      <c r="N112" s="14">
        <f>C9*N$103*$K$11</f>
        <v>258</v>
      </c>
      <c r="O112" s="14">
        <f>D9*O$103*$K$11</f>
        <v>234.56</v>
      </c>
      <c r="P112" s="14">
        <f>E9*P$103*$K$11</f>
        <v>39.549999999999997</v>
      </c>
      <c r="Q112" s="13"/>
      <c r="R112" s="14">
        <f>B9*R$103*$K$11</f>
        <v>2567.66</v>
      </c>
      <c r="S112" s="14">
        <f>C9*S$103*$K$11</f>
        <v>430</v>
      </c>
      <c r="T112" s="14">
        <f>D9*T$103*$K$11</f>
        <v>249.22000000000003</v>
      </c>
      <c r="U112" s="14">
        <f>E9*U$103*$K$11</f>
        <v>49.72</v>
      </c>
      <c r="V112" s="13"/>
      <c r="W112" s="14">
        <f>B9*W$103*$K$11</f>
        <v>945.98000000000013</v>
      </c>
      <c r="X112" s="14">
        <f>C9*X$103*$K$11</f>
        <v>161.25</v>
      </c>
      <c r="Y112" s="14">
        <f>D9*Y$103*$K$11</f>
        <v>131.94</v>
      </c>
      <c r="Z112" s="14">
        <f>E9*Z$103*$K$11</f>
        <v>22.6</v>
      </c>
      <c r="AA112" s="13"/>
      <c r="AB112" s="14">
        <f>B9*AB$103*$K$11</f>
        <v>1621.6799999999998</v>
      </c>
      <c r="AC112" s="14">
        <f>C9*AC$103*$K$11</f>
        <v>279.5</v>
      </c>
      <c r="AD112" s="14">
        <f>D9*AD$103*$K$11</f>
        <v>146.6</v>
      </c>
      <c r="AE112" s="14">
        <f>E9*AE$103*$K$11</f>
        <v>31.640000000000004</v>
      </c>
      <c r="AF112" s="13"/>
      <c r="AG112" s="14">
        <f>B9*AG$103*$K$11</f>
        <v>945.98000000000013</v>
      </c>
      <c r="AH112" s="14">
        <f>C9*AH$103*$K$11</f>
        <v>107.5</v>
      </c>
      <c r="AI112" s="14">
        <f>D9*AI$103*$K$11</f>
        <v>58.64</v>
      </c>
      <c r="AJ112" s="14">
        <f>E9*AJ$103*$K$11</f>
        <v>11.3</v>
      </c>
      <c r="AK112" s="13"/>
      <c r="AL112" s="14">
        <f>B9*AL$103</f>
        <v>6757</v>
      </c>
      <c r="AM112" s="14">
        <f>C9*AM$103</f>
        <v>1075</v>
      </c>
      <c r="AN112" s="14">
        <f>D9*AN$103</f>
        <v>733</v>
      </c>
      <c r="AO112" s="14">
        <f>E9*AO$103</f>
        <v>113</v>
      </c>
      <c r="AP112" s="13"/>
      <c r="AQ112" s="13"/>
      <c r="AR112" s="13"/>
    </row>
    <row r="113" spans="1:44" x14ac:dyDescent="0.15">
      <c r="A113" s="13" t="s">
        <v>28</v>
      </c>
      <c r="B113" s="14">
        <f>H113+M113+R113+W113+AB113+AG113+AL113</f>
        <v>16985.5</v>
      </c>
      <c r="C113" s="14">
        <f>I113+N113+S113+X113+AC113+AH113+AM113</f>
        <v>2969.3</v>
      </c>
      <c r="D113" s="14">
        <f>J113+O113+T113+Y113+AD113+AI113+AN113</f>
        <v>2316.16</v>
      </c>
      <c r="E113" s="14">
        <f>K113+P113+U113+Z113+AE113+AJ113+AO113</f>
        <v>265.64999999999998</v>
      </c>
      <c r="F113" s="19">
        <f>F10</f>
        <v>130</v>
      </c>
      <c r="G113" s="13"/>
      <c r="H113" s="14">
        <f>B10*H$103*$K$11</f>
        <v>1329.3</v>
      </c>
      <c r="I113" s="14">
        <f>C10*I$103*$K$11</f>
        <v>193.65</v>
      </c>
      <c r="J113" s="14">
        <f>D10*J$103*$K$11</f>
        <v>124.08</v>
      </c>
      <c r="K113" s="14">
        <f>E10*K$103*$K$11</f>
        <v>16.8</v>
      </c>
      <c r="L113" s="13"/>
      <c r="M113" s="14">
        <f>B10*M$103*$K$11</f>
        <v>1624.7</v>
      </c>
      <c r="N113" s="14">
        <f>C10*N$103*$K$11</f>
        <v>309.83999999999997</v>
      </c>
      <c r="O113" s="14">
        <f>D10*O$103*$K$11</f>
        <v>330.88</v>
      </c>
      <c r="P113" s="14">
        <f>E10*P$103*$K$11</f>
        <v>36.75</v>
      </c>
      <c r="Q113" s="13"/>
      <c r="R113" s="14">
        <f>B10*R$103*$K$11</f>
        <v>2806.3</v>
      </c>
      <c r="S113" s="14">
        <f>C10*S$103*$K$11</f>
        <v>516.4</v>
      </c>
      <c r="T113" s="14">
        <f>D10*T$103*$K$11</f>
        <v>351.56</v>
      </c>
      <c r="U113" s="14">
        <f>E10*U$103*$K$11</f>
        <v>46.2</v>
      </c>
      <c r="V113" s="13"/>
      <c r="W113" s="14">
        <f>B10*W$103*$K$11</f>
        <v>1033.9000000000001</v>
      </c>
      <c r="X113" s="14">
        <f>C10*X$103*$K$11</f>
        <v>193.65</v>
      </c>
      <c r="Y113" s="14">
        <f>D10*Y$103*$K$11</f>
        <v>186.12</v>
      </c>
      <c r="Z113" s="14">
        <f>E10*Z$103*$K$11</f>
        <v>21</v>
      </c>
      <c r="AA113" s="13"/>
      <c r="AB113" s="14">
        <f>B10*AB$103*$K$11</f>
        <v>1772.3999999999999</v>
      </c>
      <c r="AC113" s="14">
        <f>C10*AC$103*$K$11</f>
        <v>335.66</v>
      </c>
      <c r="AD113" s="14">
        <f>D10*AD$103*$K$11</f>
        <v>206.8</v>
      </c>
      <c r="AE113" s="14">
        <f>E10*AE$103*$K$11</f>
        <v>29.400000000000002</v>
      </c>
      <c r="AF113" s="13"/>
      <c r="AG113" s="14">
        <f>B10*AG$103*$K$11</f>
        <v>1033.9000000000001</v>
      </c>
      <c r="AH113" s="14">
        <f>C10*AH$103*$K$11</f>
        <v>129.1</v>
      </c>
      <c r="AI113" s="14">
        <f>D10*AI$103*$K$11</f>
        <v>82.72</v>
      </c>
      <c r="AJ113" s="14">
        <f>E10*AJ$103*$K$11</f>
        <v>10.5</v>
      </c>
      <c r="AK113" s="13"/>
      <c r="AL113" s="14">
        <f>B10*AL$103</f>
        <v>7385</v>
      </c>
      <c r="AM113" s="14">
        <f>C10*AM$103</f>
        <v>1291</v>
      </c>
      <c r="AN113" s="14">
        <f>D10*AN$103</f>
        <v>1034</v>
      </c>
      <c r="AO113" s="14">
        <f>E10*AO$103</f>
        <v>105</v>
      </c>
      <c r="AP113" s="13"/>
      <c r="AQ113" s="13"/>
      <c r="AR113" s="13"/>
    </row>
    <row r="114" spans="1:44" x14ac:dyDescent="0.15">
      <c r="A114" s="13" t="s">
        <v>30</v>
      </c>
      <c r="B114" s="14">
        <f>H114+M114+R114+W114+AB114+AG114+AL114</f>
        <v>16399</v>
      </c>
      <c r="C114" s="14">
        <f>I114+N114+S114+X114+AC114+AH114+AM114</f>
        <v>2518.5</v>
      </c>
      <c r="D114" s="14">
        <f>J114+O114+T114+Y114+AD114+AI114+AN114</f>
        <v>1805.44</v>
      </c>
      <c r="E114" s="14">
        <f>K114+P114+U114+Z114+AE114+AJ114+AO114</f>
        <v>235.29</v>
      </c>
      <c r="F114" s="19">
        <f>F11</f>
        <v>121</v>
      </c>
      <c r="G114" s="13"/>
      <c r="H114" s="14">
        <f>B11*H$103*$K$11</f>
        <v>1283.3999999999999</v>
      </c>
      <c r="I114" s="14">
        <f>C11*I$103*$K$11</f>
        <v>164.25</v>
      </c>
      <c r="J114" s="14">
        <f>D11*J$103*$K$11</f>
        <v>96.72</v>
      </c>
      <c r="K114" s="14">
        <f>E11*K$103*$K$11</f>
        <v>14.88</v>
      </c>
      <c r="L114" s="13"/>
      <c r="M114" s="14">
        <f>B11*M$103*$K$11</f>
        <v>1568.6</v>
      </c>
      <c r="N114" s="14">
        <f>C11*N$103*$K$11</f>
        <v>262.8</v>
      </c>
      <c r="O114" s="14">
        <f>D11*O$103*$K$11</f>
        <v>257.92</v>
      </c>
      <c r="P114" s="14">
        <f>E11*P$103*$K$11</f>
        <v>32.549999999999997</v>
      </c>
      <c r="Q114" s="13"/>
      <c r="R114" s="14">
        <f>B11*R$103*$K$11</f>
        <v>2709.4</v>
      </c>
      <c r="S114" s="14">
        <f>C11*S$103*$K$11</f>
        <v>438</v>
      </c>
      <c r="T114" s="14">
        <f>D11*T$103*$K$11</f>
        <v>274.04000000000002</v>
      </c>
      <c r="U114" s="14">
        <f>E11*U$103*$K$11</f>
        <v>40.92</v>
      </c>
      <c r="V114" s="13"/>
      <c r="W114" s="14">
        <f>B11*W$103*$K$11</f>
        <v>998.2</v>
      </c>
      <c r="X114" s="14">
        <f>C11*X$103*$K$11</f>
        <v>164.25</v>
      </c>
      <c r="Y114" s="14">
        <f>D11*Y$103*$K$11</f>
        <v>145.07999999999998</v>
      </c>
      <c r="Z114" s="14">
        <f>E11*Z$103*$K$11</f>
        <v>18.600000000000001</v>
      </c>
      <c r="AA114" s="13"/>
      <c r="AB114" s="14">
        <f>B11*AB$103*$K$11</f>
        <v>1711.2</v>
      </c>
      <c r="AC114" s="14">
        <f>C11*AC$103*$K$11</f>
        <v>284.7</v>
      </c>
      <c r="AD114" s="14">
        <f>D11*AD$103*$K$11</f>
        <v>161.20000000000002</v>
      </c>
      <c r="AE114" s="14">
        <f>E11*AE$103*$K$11</f>
        <v>26.040000000000003</v>
      </c>
      <c r="AF114" s="13"/>
      <c r="AG114" s="14">
        <f>B11*AG$103*$K$11</f>
        <v>998.2</v>
      </c>
      <c r="AH114" s="14">
        <f>C11*AH$103*$K$11</f>
        <v>109.5</v>
      </c>
      <c r="AI114" s="14">
        <f>D11*AI$103*$K$11</f>
        <v>64.48</v>
      </c>
      <c r="AJ114" s="14">
        <f>E11*AJ$103*$K$11</f>
        <v>9.3000000000000007</v>
      </c>
      <c r="AK114" s="13"/>
      <c r="AL114" s="14">
        <f>B11*AL$103</f>
        <v>7130</v>
      </c>
      <c r="AM114" s="14">
        <f>C11*AM$103</f>
        <v>1095</v>
      </c>
      <c r="AN114" s="14">
        <f>D11*AN$103</f>
        <v>806</v>
      </c>
      <c r="AO114" s="14">
        <f>E11*AO$103</f>
        <v>93</v>
      </c>
      <c r="AP114" s="13"/>
      <c r="AQ114" s="13"/>
      <c r="AR114" s="13"/>
    </row>
    <row r="115" spans="1:44" x14ac:dyDescent="0.15">
      <c r="A115" s="13"/>
      <c r="B115" s="13"/>
      <c r="C115" s="13"/>
      <c r="D115" s="13"/>
      <c r="E115" s="13"/>
      <c r="F115" s="13"/>
      <c r="G115" s="13"/>
      <c r="H115" s="23">
        <v>0.22</v>
      </c>
      <c r="I115" s="23">
        <v>0.18</v>
      </c>
      <c r="J115" s="23">
        <v>0.15</v>
      </c>
      <c r="K115" s="23">
        <v>0.2</v>
      </c>
      <c r="L115" s="13"/>
      <c r="M115" s="25">
        <v>0.25</v>
      </c>
      <c r="N115" s="25">
        <v>0.28000000000000003</v>
      </c>
      <c r="O115" s="25">
        <v>0.35</v>
      </c>
      <c r="P115" s="25">
        <v>0.4</v>
      </c>
      <c r="Q115" s="13"/>
      <c r="R115" s="27">
        <v>0.42</v>
      </c>
      <c r="S115" s="27">
        <v>0.45</v>
      </c>
      <c r="T115" s="27">
        <v>0.38</v>
      </c>
      <c r="U115" s="27">
        <v>0.5</v>
      </c>
      <c r="V115" s="13"/>
      <c r="W115" s="25">
        <v>0.2</v>
      </c>
      <c r="X115" s="25">
        <v>0.22</v>
      </c>
      <c r="Y115" s="25">
        <v>0.28000000000000003</v>
      </c>
      <c r="Z115" s="25">
        <v>0.32</v>
      </c>
      <c r="AA115" s="13"/>
      <c r="AB115" s="27">
        <v>0.38</v>
      </c>
      <c r="AC115" s="27">
        <v>0.4</v>
      </c>
      <c r="AD115" s="27">
        <v>0.32</v>
      </c>
      <c r="AE115" s="27">
        <v>0.45</v>
      </c>
      <c r="AF115" s="13"/>
      <c r="AG115" s="29">
        <v>0.18</v>
      </c>
      <c r="AH115" s="29">
        <v>0.12</v>
      </c>
      <c r="AI115" s="29">
        <v>0.08</v>
      </c>
      <c r="AJ115" s="29">
        <v>0.12</v>
      </c>
      <c r="AK115" s="13"/>
      <c r="AL115" s="31">
        <v>1</v>
      </c>
      <c r="AM115" s="31">
        <v>1</v>
      </c>
      <c r="AN115" s="31">
        <v>1</v>
      </c>
      <c r="AO115" s="31">
        <v>1</v>
      </c>
      <c r="AP115" s="13"/>
      <c r="AQ115" s="33" t="s">
        <v>117</v>
      </c>
      <c r="AR115" s="33"/>
    </row>
    <row r="116" spans="1:44" ht="14" x14ac:dyDescent="0.15">
      <c r="A116" s="22" t="s">
        <v>116</v>
      </c>
      <c r="B116" s="22"/>
      <c r="C116" s="22"/>
      <c r="D116" s="22"/>
      <c r="E116" s="22"/>
      <c r="F116" s="22"/>
      <c r="G116" s="13"/>
      <c r="H116" s="24" t="s">
        <v>82</v>
      </c>
      <c r="I116" s="24"/>
      <c r="J116" s="24"/>
      <c r="K116" s="24"/>
      <c r="L116" s="13"/>
      <c r="M116" s="26" t="s">
        <v>83</v>
      </c>
      <c r="N116" s="26"/>
      <c r="O116" s="26"/>
      <c r="P116" s="26"/>
      <c r="Q116" s="13"/>
      <c r="R116" s="28" t="s">
        <v>84</v>
      </c>
      <c r="S116" s="28"/>
      <c r="T116" s="28"/>
      <c r="U116" s="28"/>
      <c r="V116" s="13"/>
      <c r="W116" s="26" t="s">
        <v>85</v>
      </c>
      <c r="X116" s="26"/>
      <c r="Y116" s="26"/>
      <c r="Z116" s="26"/>
      <c r="AA116" s="13"/>
      <c r="AB116" s="28" t="s">
        <v>86</v>
      </c>
      <c r="AC116" s="28"/>
      <c r="AD116" s="28"/>
      <c r="AE116" s="28"/>
      <c r="AF116" s="13"/>
      <c r="AG116" s="30" t="s">
        <v>87</v>
      </c>
      <c r="AH116" s="30"/>
      <c r="AI116" s="30"/>
      <c r="AJ116" s="30"/>
      <c r="AK116" s="13"/>
      <c r="AL116" s="32" t="s">
        <v>115</v>
      </c>
      <c r="AM116" s="32"/>
      <c r="AN116" s="32"/>
      <c r="AO116" s="32"/>
      <c r="AP116" s="13"/>
      <c r="AQ116" s="13" t="s">
        <v>36</v>
      </c>
      <c r="AR116" s="34">
        <v>30</v>
      </c>
    </row>
    <row r="117" spans="1:44" x14ac:dyDescent="0.15">
      <c r="A117" s="17" t="s">
        <v>2</v>
      </c>
      <c r="B117" s="17" t="s">
        <v>3</v>
      </c>
      <c r="C117" s="17" t="s">
        <v>4</v>
      </c>
      <c r="D117" s="17" t="s">
        <v>5</v>
      </c>
      <c r="E117" s="17" t="s">
        <v>6</v>
      </c>
      <c r="F117" s="17" t="s">
        <v>7</v>
      </c>
      <c r="G117" s="13"/>
      <c r="H117" s="17" t="s">
        <v>3</v>
      </c>
      <c r="I117" s="17" t="s">
        <v>4</v>
      </c>
      <c r="J117" s="17" t="s">
        <v>5</v>
      </c>
      <c r="K117" s="17" t="s">
        <v>6</v>
      </c>
      <c r="L117" s="13"/>
      <c r="M117" s="17" t="s">
        <v>3</v>
      </c>
      <c r="N117" s="17" t="s">
        <v>4</v>
      </c>
      <c r="O117" s="17" t="s">
        <v>5</v>
      </c>
      <c r="P117" s="17" t="s">
        <v>6</v>
      </c>
      <c r="Q117" s="13"/>
      <c r="R117" s="17" t="s">
        <v>3</v>
      </c>
      <c r="S117" s="17" t="s">
        <v>4</v>
      </c>
      <c r="T117" s="17" t="s">
        <v>5</v>
      </c>
      <c r="U117" s="17" t="s">
        <v>6</v>
      </c>
      <c r="V117" s="13"/>
      <c r="W117" s="17" t="s">
        <v>3</v>
      </c>
      <c r="X117" s="17" t="s">
        <v>4</v>
      </c>
      <c r="Y117" s="17" t="s">
        <v>5</v>
      </c>
      <c r="Z117" s="17" t="s">
        <v>6</v>
      </c>
      <c r="AA117" s="13"/>
      <c r="AB117" s="17" t="s">
        <v>3</v>
      </c>
      <c r="AC117" s="17" t="s">
        <v>4</v>
      </c>
      <c r="AD117" s="17" t="s">
        <v>5</v>
      </c>
      <c r="AE117" s="17" t="s">
        <v>6</v>
      </c>
      <c r="AF117" s="13"/>
      <c r="AG117" s="17" t="s">
        <v>3</v>
      </c>
      <c r="AH117" s="17" t="s">
        <v>4</v>
      </c>
      <c r="AI117" s="17" t="s">
        <v>5</v>
      </c>
      <c r="AJ117" s="17" t="s">
        <v>6</v>
      </c>
      <c r="AK117" s="13"/>
      <c r="AL117" s="17" t="s">
        <v>3</v>
      </c>
      <c r="AM117" s="17" t="s">
        <v>4</v>
      </c>
      <c r="AN117" s="17" t="s">
        <v>5</v>
      </c>
      <c r="AO117" s="17" t="s">
        <v>6</v>
      </c>
      <c r="AP117" s="13"/>
      <c r="AQ117" s="13" t="s">
        <v>91</v>
      </c>
      <c r="AR117" s="34">
        <v>30</v>
      </c>
    </row>
    <row r="118" spans="1:44" x14ac:dyDescent="0.15">
      <c r="A118" s="13" t="s">
        <v>14</v>
      </c>
      <c r="B118" s="14">
        <f>H118+M118+R118+W118+AB118+AG118+AL118</f>
        <v>14630.413</v>
      </c>
      <c r="C118" s="14">
        <f>I118+N118+S118+X118+AC118+AH118+AM118</f>
        <v>1016.7954999999999</v>
      </c>
      <c r="D118" s="14">
        <f>J118+O118+T118+Y118+AD118+AI118+AN118</f>
        <v>251.31999999999996</v>
      </c>
      <c r="E118" s="14">
        <f>K118+P118+U118+Z118+AE118+AJ118+AO118</f>
        <v>90.839299999999994</v>
      </c>
      <c r="F118" s="19">
        <f>F3</f>
        <v>85</v>
      </c>
      <c r="G118" s="13"/>
      <c r="H118" s="14">
        <f>B3*H$115*$K$12</f>
        <v>1200.5884000000001</v>
      </c>
      <c r="I118" s="14">
        <f>C3*I$115*$K$12</f>
        <v>68.268599999999992</v>
      </c>
      <c r="J118" s="14">
        <f>D3*J$115*$K$12</f>
        <v>14.549999999999999</v>
      </c>
      <c r="K118" s="14">
        <f>E3*K$115*$K$12</f>
        <v>6.0140000000000002</v>
      </c>
      <c r="L118" s="13"/>
      <c r="M118" s="14">
        <f>B3*M$115*$K$12</f>
        <v>1364.3050000000001</v>
      </c>
      <c r="N118" s="14">
        <f>C3*N$115*$K$12</f>
        <v>106.1956</v>
      </c>
      <c r="O118" s="14">
        <f>D3*O$115*$K$12</f>
        <v>33.949999999999996</v>
      </c>
      <c r="P118" s="14">
        <f>E3*P$115*$K$12</f>
        <v>12.028</v>
      </c>
      <c r="Q118" s="13"/>
      <c r="R118" s="14">
        <f>B3*R$115*$K$12</f>
        <v>2292.0324000000001</v>
      </c>
      <c r="S118" s="14">
        <f>C3*S$115*$K$12</f>
        <v>170.67150000000001</v>
      </c>
      <c r="T118" s="14">
        <f>D3*T$115*$K$12</f>
        <v>36.86</v>
      </c>
      <c r="U118" s="14">
        <f>E3*U$115*$K$12</f>
        <v>15.035</v>
      </c>
      <c r="V118" s="13"/>
      <c r="W118" s="14">
        <f>B3*W$115*$K$12</f>
        <v>1091.444</v>
      </c>
      <c r="X118" s="14">
        <f>C3*X$115*$K$12</f>
        <v>83.439399999999992</v>
      </c>
      <c r="Y118" s="14">
        <f>D3*Y$115*$K$12</f>
        <v>27.160000000000004</v>
      </c>
      <c r="Z118" s="14">
        <f>E3*Z$115*$K$12</f>
        <v>9.622399999999999</v>
      </c>
      <c r="AA118" s="13"/>
      <c r="AB118" s="14">
        <f>B3*AB$115*$K$12</f>
        <v>2073.7436000000002</v>
      </c>
      <c r="AC118" s="14">
        <f>C3*AC$115*$K$12</f>
        <v>151.708</v>
      </c>
      <c r="AD118" s="14">
        <f>D3*AD$115*$K$12</f>
        <v>31.04</v>
      </c>
      <c r="AE118" s="14">
        <f>E3*AE$115*$K$12</f>
        <v>13.531500000000001</v>
      </c>
      <c r="AF118" s="13"/>
      <c r="AG118" s="14">
        <f>B3*AG$115*$K$12</f>
        <v>982.29959999999994</v>
      </c>
      <c r="AH118" s="14">
        <f>C3*AH$115*$K$12</f>
        <v>45.5124</v>
      </c>
      <c r="AI118" s="14">
        <f>D3*AI$115*$K$12</f>
        <v>7.76</v>
      </c>
      <c r="AJ118" s="14">
        <f>E3*AJ$115*$K$12</f>
        <v>3.6083999999999996</v>
      </c>
      <c r="AK118" s="13"/>
      <c r="AL118" s="14">
        <f>B3*AL$115</f>
        <v>5626</v>
      </c>
      <c r="AM118" s="14">
        <f>C3*AM$115</f>
        <v>391</v>
      </c>
      <c r="AN118" s="14">
        <f>D3*AN$115</f>
        <v>100</v>
      </c>
      <c r="AO118" s="14">
        <f>E3*AO$115</f>
        <v>31</v>
      </c>
      <c r="AP118" s="13"/>
      <c r="AQ118" s="13" t="s">
        <v>92</v>
      </c>
      <c r="AR118" s="34">
        <v>60</v>
      </c>
    </row>
    <row r="119" spans="1:44" x14ac:dyDescent="0.15">
      <c r="A119" s="13" t="s">
        <v>15</v>
      </c>
      <c r="B119" s="14">
        <f>H119+M119+R119+W119+AB119+AG119+AL119</f>
        <v>14268.943499999999</v>
      </c>
      <c r="C119" s="14">
        <f>I119+N119+S119+X119+AC119+AH119+AM119</f>
        <v>946.58199999999999</v>
      </c>
      <c r="D119" s="14">
        <f>J119+O119+T119+Y119+AD119+AI119+AN119</f>
        <v>351.84800000000007</v>
      </c>
      <c r="E119" s="14">
        <f>K119+P119+U119+Z119+AE119+AJ119+AO119</f>
        <v>87.908999999999992</v>
      </c>
      <c r="F119" s="19">
        <f>F4</f>
        <v>81</v>
      </c>
      <c r="G119" s="13"/>
      <c r="H119" s="14">
        <f>B4*H$115*$K$12</f>
        <v>1170.9258</v>
      </c>
      <c r="I119" s="14">
        <f>C4*I$115*$K$12</f>
        <v>63.554399999999994</v>
      </c>
      <c r="J119" s="14">
        <f>D4*J$115*$K$12</f>
        <v>20.37</v>
      </c>
      <c r="K119" s="14">
        <f>E4*K$115*$K$12</f>
        <v>5.82</v>
      </c>
      <c r="L119" s="13"/>
      <c r="M119" s="14">
        <f>B4*M$115*$K$12</f>
        <v>1330.5974999999999</v>
      </c>
      <c r="N119" s="14">
        <f>C4*N$115*$K$12</f>
        <v>98.862400000000008</v>
      </c>
      <c r="O119" s="14">
        <f>D4*O$115*$K$12</f>
        <v>47.53</v>
      </c>
      <c r="P119" s="14">
        <f>E4*P$115*$K$12</f>
        <v>11.64</v>
      </c>
      <c r="Q119" s="13"/>
      <c r="R119" s="14">
        <f>B4*R$115*$K$12</f>
        <v>2235.4038</v>
      </c>
      <c r="S119" s="14">
        <f>C4*S$115*$K$12</f>
        <v>158.886</v>
      </c>
      <c r="T119" s="14">
        <f>D4*T$115*$K$12</f>
        <v>51.603999999999999</v>
      </c>
      <c r="U119" s="14">
        <f>E4*U$115*$K$12</f>
        <v>14.549999999999999</v>
      </c>
      <c r="V119" s="13"/>
      <c r="W119" s="14">
        <f>B4*W$115*$K$12</f>
        <v>1064.4780000000001</v>
      </c>
      <c r="X119" s="14">
        <f>C4*X$115*$K$12</f>
        <v>77.677599999999998</v>
      </c>
      <c r="Y119" s="14">
        <f>D4*Y$115*$K$12</f>
        <v>38.024000000000001</v>
      </c>
      <c r="Z119" s="14">
        <f>E4*Z$115*$K$12</f>
        <v>9.3119999999999994</v>
      </c>
      <c r="AA119" s="13"/>
      <c r="AB119" s="14">
        <f>B4*AB$115*$K$12</f>
        <v>2022.5082</v>
      </c>
      <c r="AC119" s="14">
        <f>C4*AC$115*$K$12</f>
        <v>141.232</v>
      </c>
      <c r="AD119" s="14">
        <f>D4*AD$115*$K$12</f>
        <v>43.456000000000003</v>
      </c>
      <c r="AE119" s="14">
        <f>E4*AE$115*$K$12</f>
        <v>13.094999999999999</v>
      </c>
      <c r="AF119" s="13"/>
      <c r="AG119" s="14">
        <f>B4*AG$115*$K$12</f>
        <v>958.03019999999992</v>
      </c>
      <c r="AH119" s="14">
        <f>C4*AH$115*$K$12</f>
        <v>42.369599999999998</v>
      </c>
      <c r="AI119" s="14">
        <f>D4*AI$115*$K$12</f>
        <v>10.864000000000001</v>
      </c>
      <c r="AJ119" s="14">
        <f>E4*AJ$115*$K$12</f>
        <v>3.4919999999999995</v>
      </c>
      <c r="AK119" s="13"/>
      <c r="AL119" s="14">
        <f>B4*AL$115</f>
        <v>5487</v>
      </c>
      <c r="AM119" s="14">
        <f>C4*AM$115</f>
        <v>364</v>
      </c>
      <c r="AN119" s="14">
        <f>D4*AN$115</f>
        <v>140</v>
      </c>
      <c r="AO119" s="14">
        <f>E4*AO$115</f>
        <v>30</v>
      </c>
      <c r="AP119" s="13"/>
      <c r="AQ119" s="13" t="s">
        <v>93</v>
      </c>
      <c r="AR119" s="34">
        <v>25</v>
      </c>
    </row>
    <row r="120" spans="1:44" x14ac:dyDescent="0.15">
      <c r="A120" s="13" t="s">
        <v>18</v>
      </c>
      <c r="B120" s="14">
        <f>H120+M120+R120+W120+AB120+AG120+AL120</f>
        <v>16406.554499999998</v>
      </c>
      <c r="C120" s="14">
        <f>I120+N120+S120+X120+AC120+AH120+AM120</f>
        <v>1464.0814999999998</v>
      </c>
      <c r="D120" s="14">
        <f>J120+O120+T120+Y120+AD120+AI120+AN120</f>
        <v>713.74880000000007</v>
      </c>
      <c r="E120" s="14">
        <f>K120+P120+U120+Z120+AE120+AJ120+AO120</f>
        <v>155.30590000000001</v>
      </c>
      <c r="F120" s="19">
        <f>F5</f>
        <v>103</v>
      </c>
      <c r="G120" s="13"/>
      <c r="H120" s="14">
        <f>B5*H$115*$K$12</f>
        <v>1346.3406</v>
      </c>
      <c r="I120" s="14">
        <f>C5*I$115*$K$12</f>
        <v>98.299799999999991</v>
      </c>
      <c r="J120" s="14">
        <f>D5*J$115*$K$12</f>
        <v>41.322000000000003</v>
      </c>
      <c r="K120" s="14">
        <f>E5*K$115*$K$12</f>
        <v>10.282000000000002</v>
      </c>
      <c r="L120" s="13"/>
      <c r="M120" s="14">
        <f>B5*M$115*$K$12</f>
        <v>1529.9324999999999</v>
      </c>
      <c r="N120" s="14">
        <f>C5*N$115*$K$12</f>
        <v>152.91080000000002</v>
      </c>
      <c r="O120" s="14">
        <f>D5*O$115*$K$12</f>
        <v>96.417999999999992</v>
      </c>
      <c r="P120" s="14">
        <f>E5*P$115*$K$12</f>
        <v>20.564000000000004</v>
      </c>
      <c r="Q120" s="13"/>
      <c r="R120" s="14">
        <f>B5*R$115*$K$12</f>
        <v>2570.2865999999999</v>
      </c>
      <c r="S120" s="14">
        <f>C5*S$115*$K$12</f>
        <v>245.74949999999998</v>
      </c>
      <c r="T120" s="14">
        <f>D5*T$115*$K$12</f>
        <v>104.6824</v>
      </c>
      <c r="U120" s="14">
        <f>E5*U$115*$K$12</f>
        <v>25.704999999999998</v>
      </c>
      <c r="V120" s="13"/>
      <c r="W120" s="14">
        <f>B5*W$115*$K$12</f>
        <v>1223.9460000000001</v>
      </c>
      <c r="X120" s="14">
        <f>C5*X$115*$K$12</f>
        <v>120.1442</v>
      </c>
      <c r="Y120" s="14">
        <f>D5*Y$115*$K$12</f>
        <v>77.134400000000014</v>
      </c>
      <c r="Z120" s="14">
        <f>E5*Z$115*$K$12</f>
        <v>16.4512</v>
      </c>
      <c r="AA120" s="13"/>
      <c r="AB120" s="14">
        <f>B5*AB$115*$K$12</f>
        <v>2325.4974000000002</v>
      </c>
      <c r="AC120" s="14">
        <f>C5*AC$115*$K$12</f>
        <v>218.44400000000002</v>
      </c>
      <c r="AD120" s="14">
        <f>D5*AD$115*$K$12</f>
        <v>88.153599999999997</v>
      </c>
      <c r="AE120" s="14">
        <f>E5*AE$115*$K$12</f>
        <v>23.134499999999999</v>
      </c>
      <c r="AF120" s="13"/>
      <c r="AG120" s="14">
        <f>B5*AG$115*$K$12</f>
        <v>1101.5513999999998</v>
      </c>
      <c r="AH120" s="14">
        <f>C5*AH$115*$K$12</f>
        <v>65.533199999999994</v>
      </c>
      <c r="AI120" s="14">
        <f>D5*AI$115*$K$12</f>
        <v>22.038399999999999</v>
      </c>
      <c r="AJ120" s="14">
        <f>E5*AJ$115*$K$12</f>
        <v>6.1691999999999991</v>
      </c>
      <c r="AK120" s="13"/>
      <c r="AL120" s="14">
        <f>B5*AL$115</f>
        <v>6309</v>
      </c>
      <c r="AM120" s="14">
        <f>C5*AM$115</f>
        <v>563</v>
      </c>
      <c r="AN120" s="14">
        <f>D5*AN$115</f>
        <v>284</v>
      </c>
      <c r="AO120" s="14">
        <f>E5*AO$115</f>
        <v>53</v>
      </c>
      <c r="AP120" s="13"/>
      <c r="AQ120" s="13" t="s">
        <v>94</v>
      </c>
      <c r="AR120" s="34">
        <v>55</v>
      </c>
    </row>
    <row r="121" spans="1:44" x14ac:dyDescent="0.15">
      <c r="A121" s="13" t="s">
        <v>20</v>
      </c>
      <c r="B121" s="14">
        <f>H121+M121+R121+W121+AB121+AG121+AL121</f>
        <v>16640.5995</v>
      </c>
      <c r="C121" s="14">
        <f>I121+N121+S121+X121+AC121+AH121+AM121</f>
        <v>1815.1490000000001</v>
      </c>
      <c r="D121" s="14">
        <f>J121+O121+T121+Y121+AD121+AI121+AN121</f>
        <v>894.69919999999991</v>
      </c>
      <c r="E121" s="14">
        <f>K121+P121+U121+Z121+AE121+AJ121+AO121</f>
        <v>208.0513</v>
      </c>
      <c r="F121" s="19">
        <f>F6</f>
        <v>106</v>
      </c>
      <c r="G121" s="13"/>
      <c r="H121" s="14">
        <f>B6*H$115*$K$12</f>
        <v>1365.5465999999999</v>
      </c>
      <c r="I121" s="14">
        <f>C6*I$115*$K$12</f>
        <v>121.8708</v>
      </c>
      <c r="J121" s="14">
        <f>D6*J$115*$K$12</f>
        <v>51.797999999999995</v>
      </c>
      <c r="K121" s="14">
        <f>E6*K$115*$K$12</f>
        <v>13.774000000000001</v>
      </c>
      <c r="L121" s="13"/>
      <c r="M121" s="14">
        <f>B6*M$115*$K$12</f>
        <v>1551.7574999999999</v>
      </c>
      <c r="N121" s="14">
        <f>C6*N$115*$K$12</f>
        <v>189.57680000000002</v>
      </c>
      <c r="O121" s="14">
        <f>D6*O$115*$K$12</f>
        <v>120.86199999999999</v>
      </c>
      <c r="P121" s="14">
        <f>E6*P$115*$K$12</f>
        <v>27.548000000000002</v>
      </c>
      <c r="Q121" s="13"/>
      <c r="R121" s="14">
        <f>B6*R$115*$K$12</f>
        <v>2606.9526000000001</v>
      </c>
      <c r="S121" s="14">
        <f>C6*S$115*$K$12</f>
        <v>304.67700000000002</v>
      </c>
      <c r="T121" s="14">
        <f>D6*T$115*$K$12</f>
        <v>131.2216</v>
      </c>
      <c r="U121" s="14">
        <f>E6*U$115*$K$12</f>
        <v>34.435000000000002</v>
      </c>
      <c r="V121" s="13"/>
      <c r="W121" s="14">
        <f>B6*W$115*$K$12</f>
        <v>1241.4060000000002</v>
      </c>
      <c r="X121" s="14">
        <f>C6*X$115*$K$12</f>
        <v>148.95320000000001</v>
      </c>
      <c r="Y121" s="14">
        <f>D6*Y$115*$K$12</f>
        <v>96.689599999999999</v>
      </c>
      <c r="Z121" s="14">
        <f>E6*Z$115*$K$12</f>
        <v>22.038399999999999</v>
      </c>
      <c r="AA121" s="13"/>
      <c r="AB121" s="14">
        <f>B6*AB$115*$K$12</f>
        <v>2358.6713999999997</v>
      </c>
      <c r="AC121" s="14">
        <f>C6*AC$115*$K$12</f>
        <v>270.82399999999996</v>
      </c>
      <c r="AD121" s="14">
        <f>D6*AD$115*$K$12</f>
        <v>110.50239999999999</v>
      </c>
      <c r="AE121" s="14">
        <f>E6*AE$115*$K$12</f>
        <v>30.991499999999998</v>
      </c>
      <c r="AF121" s="13"/>
      <c r="AG121" s="14">
        <f>B6*AG$115*$K$12</f>
        <v>1117.2654</v>
      </c>
      <c r="AH121" s="14">
        <f>C6*AH$115*$K$12</f>
        <v>81.247199999999992</v>
      </c>
      <c r="AI121" s="14">
        <f>D6*AI$115*$K$12</f>
        <v>27.625599999999999</v>
      </c>
      <c r="AJ121" s="14">
        <f>E6*AJ$115*$K$12</f>
        <v>8.2644000000000002</v>
      </c>
      <c r="AK121" s="13"/>
      <c r="AL121" s="14">
        <f>B6*AL$115</f>
        <v>6399</v>
      </c>
      <c r="AM121" s="14">
        <f>C6*AM$115</f>
        <v>698</v>
      </c>
      <c r="AN121" s="14">
        <f>D6*AN$115</f>
        <v>356</v>
      </c>
      <c r="AO121" s="14">
        <f>E6*AO$115</f>
        <v>71</v>
      </c>
      <c r="AP121" s="13"/>
      <c r="AQ121" s="13" t="s">
        <v>39</v>
      </c>
      <c r="AR121" s="34">
        <v>20</v>
      </c>
    </row>
    <row r="122" spans="1:44" x14ac:dyDescent="0.15">
      <c r="A122" s="13" t="s">
        <v>22</v>
      </c>
      <c r="B122" s="14">
        <f>H122+M122+R122+W122+AB122+AG122+AL122</f>
        <v>16861.642</v>
      </c>
      <c r="C122" s="14">
        <f>I122+N122+S122+X122+AC122+AH122+AM122</f>
        <v>3102.3964999999998</v>
      </c>
      <c r="D122" s="14">
        <f>J122+O122+T122+Y122+AD122+AI122+AN122</f>
        <v>2058.3107999999997</v>
      </c>
      <c r="E122" s="14">
        <f>K122+P122+U122+Z122+AE122+AJ122+AO122</f>
        <v>298.89060000000001</v>
      </c>
      <c r="F122" s="19">
        <f>F7</f>
        <v>106</v>
      </c>
      <c r="G122" s="13"/>
      <c r="H122" s="14">
        <f>B7*H$115*$K$12</f>
        <v>1383.6856</v>
      </c>
      <c r="I122" s="14">
        <f>C7*I$115*$K$12</f>
        <v>208.29779999999997</v>
      </c>
      <c r="J122" s="14">
        <f>D7*J$115*$K$12</f>
        <v>119.16449999999999</v>
      </c>
      <c r="K122" s="14">
        <f>E7*K$115*$K$12</f>
        <v>19.788</v>
      </c>
      <c r="L122" s="13"/>
      <c r="M122" s="14">
        <f>B7*M$115*$K$12</f>
        <v>1572.37</v>
      </c>
      <c r="N122" s="14">
        <f>C7*N$115*$K$12</f>
        <v>324.0188</v>
      </c>
      <c r="O122" s="14">
        <f>D7*O$115*$K$12</f>
        <v>278.05049999999994</v>
      </c>
      <c r="P122" s="14">
        <f>E7*P$115*$K$12</f>
        <v>39.576000000000001</v>
      </c>
      <c r="Q122" s="13"/>
      <c r="R122" s="14">
        <f>B7*R$115*$K$12</f>
        <v>2641.5815999999995</v>
      </c>
      <c r="S122" s="14">
        <f>C7*S$115*$K$12</f>
        <v>520.74450000000002</v>
      </c>
      <c r="T122" s="14">
        <f>D7*T$115*$K$12</f>
        <v>301.88339999999999</v>
      </c>
      <c r="U122" s="14">
        <f>E7*U$115*$K$12</f>
        <v>49.47</v>
      </c>
      <c r="V122" s="13"/>
      <c r="W122" s="14">
        <f>B7*W$115*$K$12</f>
        <v>1257.8960000000002</v>
      </c>
      <c r="X122" s="14">
        <f>C7*X$115*$K$12</f>
        <v>254.58619999999996</v>
      </c>
      <c r="Y122" s="14">
        <f>D7*Y$115*$K$12</f>
        <v>222.44040000000001</v>
      </c>
      <c r="Z122" s="14">
        <f>E7*Z$115*$K$12</f>
        <v>31.660799999999998</v>
      </c>
      <c r="AA122" s="13"/>
      <c r="AB122" s="14">
        <f>B7*AB$115*$K$12</f>
        <v>2390.0023999999999</v>
      </c>
      <c r="AC122" s="14">
        <f>C7*AC$115*$K$12</f>
        <v>462.88400000000001</v>
      </c>
      <c r="AD122" s="14">
        <f>D7*AD$115*$K$12</f>
        <v>254.21759999999998</v>
      </c>
      <c r="AE122" s="14">
        <f>E7*AE$115*$K$12</f>
        <v>44.522999999999996</v>
      </c>
      <c r="AF122" s="13"/>
      <c r="AG122" s="14">
        <f>B7*AG$115*$K$12</f>
        <v>1132.1063999999999</v>
      </c>
      <c r="AH122" s="14">
        <f>C7*AH$115*$K$12</f>
        <v>138.86519999999999</v>
      </c>
      <c r="AI122" s="14">
        <f>D7*AI$115*$K$12</f>
        <v>63.554399999999994</v>
      </c>
      <c r="AJ122" s="14">
        <f>E7*AJ$115*$K$12</f>
        <v>11.8728</v>
      </c>
      <c r="AK122" s="13"/>
      <c r="AL122" s="14">
        <f>B7*AL$115</f>
        <v>6484</v>
      </c>
      <c r="AM122" s="14">
        <f>C7*AM$115</f>
        <v>1193</v>
      </c>
      <c r="AN122" s="14">
        <f>D7*AN$115</f>
        <v>819</v>
      </c>
      <c r="AO122" s="14">
        <f>E7*AO$115</f>
        <v>102</v>
      </c>
      <c r="AP122" s="13"/>
      <c r="AQ122" s="13" t="s">
        <v>45</v>
      </c>
      <c r="AR122" s="34">
        <v>80</v>
      </c>
    </row>
    <row r="123" spans="1:44" x14ac:dyDescent="0.15">
      <c r="A123" s="13" t="s">
        <v>24</v>
      </c>
      <c r="B123" s="14">
        <f>H123+M123+R123+W123+AB123+AG123+AL123</f>
        <v>15748.628000000001</v>
      </c>
      <c r="C123" s="14">
        <f>I123+N123+S123+X123+AC123+AH123+AM123</f>
        <v>1718.9304999999999</v>
      </c>
      <c r="D123" s="14">
        <f>J123+O123+T123+Y123+AD123+AI123+AN123</f>
        <v>676.05079999999998</v>
      </c>
      <c r="E123" s="14">
        <f>K123+P123+U123+Z123+AE123+AJ123+AO123</f>
        <v>254.93610000000001</v>
      </c>
      <c r="F123" s="19">
        <f>F8</f>
        <v>95</v>
      </c>
      <c r="G123" s="13"/>
      <c r="H123" s="14">
        <f>B8*H$115*$K$12</f>
        <v>1292.3503999999998</v>
      </c>
      <c r="I123" s="14">
        <f>C8*I$115*$K$12</f>
        <v>115.41059999999999</v>
      </c>
      <c r="J123" s="14">
        <f>D8*J$115*$K$12</f>
        <v>39.139499999999998</v>
      </c>
      <c r="K123" s="14">
        <f>E8*K$115*$K$12</f>
        <v>16.878</v>
      </c>
      <c r="L123" s="13"/>
      <c r="M123" s="14">
        <f>B8*M$115*$K$12</f>
        <v>1468.58</v>
      </c>
      <c r="N123" s="14">
        <f>C8*N$115*$K$12</f>
        <v>179.52760000000001</v>
      </c>
      <c r="O123" s="14">
        <f>D8*O$115*$K$12</f>
        <v>91.325499999999991</v>
      </c>
      <c r="P123" s="14">
        <f>E8*P$115*$K$12</f>
        <v>33.756</v>
      </c>
      <c r="Q123" s="13"/>
      <c r="R123" s="14">
        <f>B8*R$115*$K$12</f>
        <v>2467.2143999999998</v>
      </c>
      <c r="S123" s="14">
        <f>C8*S$115*$K$12</f>
        <v>288.5265</v>
      </c>
      <c r="T123" s="14">
        <f>D8*T$115*$K$12</f>
        <v>99.153399999999991</v>
      </c>
      <c r="U123" s="14">
        <f>E8*U$115*$K$12</f>
        <v>42.195</v>
      </c>
      <c r="V123" s="13"/>
      <c r="W123" s="14">
        <f>B8*W$115*$K$12</f>
        <v>1174.864</v>
      </c>
      <c r="X123" s="14">
        <f>C8*X$115*$K$12</f>
        <v>141.05739999999997</v>
      </c>
      <c r="Y123" s="14">
        <f>D8*Y$115*$K$12</f>
        <v>73.060400000000001</v>
      </c>
      <c r="Z123" s="14">
        <f>E8*Z$115*$K$12</f>
        <v>27.004799999999999</v>
      </c>
      <c r="AA123" s="13"/>
      <c r="AB123" s="14">
        <f>B8*AB$115*$K$12</f>
        <v>2232.2416000000003</v>
      </c>
      <c r="AC123" s="14">
        <f>C8*AC$115*$K$12</f>
        <v>256.46800000000002</v>
      </c>
      <c r="AD123" s="14">
        <f>D8*AD$115*$K$12</f>
        <v>83.497599999999991</v>
      </c>
      <c r="AE123" s="14">
        <f>E8*AE$115*$K$12</f>
        <v>37.975499999999997</v>
      </c>
      <c r="AF123" s="13"/>
      <c r="AG123" s="14">
        <f>B8*AG$115*$K$12</f>
        <v>1057.3775999999998</v>
      </c>
      <c r="AH123" s="14">
        <f>C8*AH$115*$K$12</f>
        <v>76.940399999999997</v>
      </c>
      <c r="AI123" s="14">
        <f>D8*AI$115*$K$12</f>
        <v>20.874399999999998</v>
      </c>
      <c r="AJ123" s="14">
        <f>E8*AJ$115*$K$12</f>
        <v>10.126799999999999</v>
      </c>
      <c r="AK123" s="13"/>
      <c r="AL123" s="14">
        <f>B8*AL$115</f>
        <v>6056</v>
      </c>
      <c r="AM123" s="14">
        <f>C8*AM$115</f>
        <v>661</v>
      </c>
      <c r="AN123" s="14">
        <f>D8*AN$115</f>
        <v>269</v>
      </c>
      <c r="AO123" s="14">
        <f>E8*AO$115</f>
        <v>87</v>
      </c>
      <c r="AP123" s="13"/>
      <c r="AQ123" s="15" t="s">
        <v>95</v>
      </c>
      <c r="AR123" s="35">
        <f>SUM(AR116:AR122)</f>
        <v>300</v>
      </c>
    </row>
    <row r="124" spans="1:44" x14ac:dyDescent="0.15">
      <c r="A124" s="13" t="s">
        <v>26</v>
      </c>
      <c r="B124" s="14">
        <f>H124+M124+R124+W124+AB124+AG124+AL124</f>
        <v>17571.5785</v>
      </c>
      <c r="C124" s="14">
        <f>I124+N124+S124+X124+AC124+AH124+AM124</f>
        <v>2795.5374999999999</v>
      </c>
      <c r="D124" s="14">
        <f>J124+O124+T124+Y124+AD124+AI124+AN124</f>
        <v>1842.1756</v>
      </c>
      <c r="E124" s="14">
        <f>K124+P124+U124+Z124+AE124+AJ124+AO124</f>
        <v>331.12389999999999</v>
      </c>
      <c r="F124" s="19">
        <f>F9</f>
        <v>112</v>
      </c>
      <c r="G124" s="13"/>
      <c r="H124" s="14">
        <f>B9*H$115*$K$12</f>
        <v>1441.9438</v>
      </c>
      <c r="I124" s="14">
        <f>C9*I$115*$K$12</f>
        <v>187.69499999999999</v>
      </c>
      <c r="J124" s="14">
        <f>D9*J$115*$K$12</f>
        <v>106.6515</v>
      </c>
      <c r="K124" s="14">
        <f>E9*K$115*$K$12</f>
        <v>21.922000000000001</v>
      </c>
      <c r="L124" s="13"/>
      <c r="M124" s="14">
        <f>B9*M$115*$K$12</f>
        <v>1638.5725</v>
      </c>
      <c r="N124" s="14">
        <f>C9*N$115*$K$12</f>
        <v>291.97000000000003</v>
      </c>
      <c r="O124" s="14">
        <f>D9*O$115*$K$12</f>
        <v>248.8535</v>
      </c>
      <c r="P124" s="14">
        <f>E9*P$115*$K$12</f>
        <v>43.844000000000001</v>
      </c>
      <c r="Q124" s="13"/>
      <c r="R124" s="14">
        <f>B9*R$115*$K$12</f>
        <v>2752.8018000000002</v>
      </c>
      <c r="S124" s="14">
        <f>C9*S$115*$K$12</f>
        <v>469.23750000000001</v>
      </c>
      <c r="T124" s="14">
        <f>D9*T$115*$K$12</f>
        <v>270.18380000000002</v>
      </c>
      <c r="U124" s="14">
        <f>E9*U$115*$K$12</f>
        <v>54.805</v>
      </c>
      <c r="V124" s="13"/>
      <c r="W124" s="14">
        <f>B9*W$115*$K$12</f>
        <v>1310.8579999999999</v>
      </c>
      <c r="X124" s="14">
        <f>C9*X$115*$K$12</f>
        <v>229.405</v>
      </c>
      <c r="Y124" s="14">
        <f>D9*Y$115*$K$12</f>
        <v>199.08279999999999</v>
      </c>
      <c r="Z124" s="14">
        <f>E9*Z$115*$K$12</f>
        <v>35.075200000000002</v>
      </c>
      <c r="AA124" s="13"/>
      <c r="AB124" s="14">
        <f>B9*AB$115*$K$12</f>
        <v>2490.6301999999996</v>
      </c>
      <c r="AC124" s="14">
        <f>C9*AC$115*$K$12</f>
        <v>417.09999999999997</v>
      </c>
      <c r="AD124" s="14">
        <f>D9*AD$115*$K$12</f>
        <v>227.5232</v>
      </c>
      <c r="AE124" s="14">
        <f>E9*AE$115*$K$12</f>
        <v>49.3245</v>
      </c>
      <c r="AF124" s="13"/>
      <c r="AG124" s="14">
        <f>B9*AG$115*$K$12</f>
        <v>1179.7721999999999</v>
      </c>
      <c r="AH124" s="14">
        <f>C9*AH$115*$K$12</f>
        <v>125.13</v>
      </c>
      <c r="AI124" s="14">
        <f>D9*AI$115*$K$12</f>
        <v>56.880800000000001</v>
      </c>
      <c r="AJ124" s="14">
        <f>E9*AJ$115*$K$12</f>
        <v>13.153199999999998</v>
      </c>
      <c r="AK124" s="13"/>
      <c r="AL124" s="14">
        <f>B9*AL$115</f>
        <v>6757</v>
      </c>
      <c r="AM124" s="14">
        <f>C9*AM$115</f>
        <v>1075</v>
      </c>
      <c r="AN124" s="14">
        <f>D9*AN$115</f>
        <v>733</v>
      </c>
      <c r="AO124" s="14">
        <f>E9*AO$115</f>
        <v>113</v>
      </c>
      <c r="AP124" s="13"/>
      <c r="AQ124" s="13"/>
      <c r="AR124" s="13"/>
    </row>
    <row r="125" spans="1:44" x14ac:dyDescent="0.15">
      <c r="A125" s="13" t="s">
        <v>28</v>
      </c>
      <c r="B125" s="14">
        <f>H125+M125+R125+W125+AB125+AG125+AL125</f>
        <v>19204.692499999997</v>
      </c>
      <c r="C125" s="14">
        <f>I125+N125+S125+X125+AC125+AH125+AM125</f>
        <v>3357.2455</v>
      </c>
      <c r="D125" s="14">
        <f>J125+O125+T125+Y125+AD125+AI125+AN125</f>
        <v>2598.6487999999999</v>
      </c>
      <c r="E125" s="14">
        <f>K125+P125+U125+Z125+AE125+AJ125+AO125</f>
        <v>307.68150000000003</v>
      </c>
      <c r="F125" s="19">
        <f>F10</f>
        <v>130</v>
      </c>
      <c r="G125" s="13"/>
      <c r="H125" s="14">
        <f>B10*H$115*$K$12</f>
        <v>1575.9590000000001</v>
      </c>
      <c r="I125" s="14">
        <f>C10*I$115*$K$12</f>
        <v>225.40859999999998</v>
      </c>
      <c r="J125" s="14">
        <f>D10*J$115*$K$12</f>
        <v>150.447</v>
      </c>
      <c r="K125" s="14">
        <f>E10*K$115*$K$12</f>
        <v>20.37</v>
      </c>
      <c r="L125" s="13"/>
      <c r="M125" s="14">
        <f>B10*M$115*$K$12</f>
        <v>1790.8625</v>
      </c>
      <c r="N125" s="14">
        <f>C10*N$115*$K$12</f>
        <v>350.63560000000001</v>
      </c>
      <c r="O125" s="14">
        <f>D10*O$115*$K$12</f>
        <v>351.04299999999995</v>
      </c>
      <c r="P125" s="14">
        <f>E10*P$115*$K$12</f>
        <v>40.74</v>
      </c>
      <c r="Q125" s="13"/>
      <c r="R125" s="14">
        <f>B10*R$115*$K$12</f>
        <v>3008.6489999999999</v>
      </c>
      <c r="S125" s="14">
        <f>C10*S$115*$K$12</f>
        <v>563.52150000000006</v>
      </c>
      <c r="T125" s="14">
        <f>D10*T$115*$K$12</f>
        <v>381.13240000000002</v>
      </c>
      <c r="U125" s="14">
        <f>E10*U$115*$K$12</f>
        <v>50.924999999999997</v>
      </c>
      <c r="V125" s="13"/>
      <c r="W125" s="14">
        <f>B10*W$115*$K$12</f>
        <v>1432.69</v>
      </c>
      <c r="X125" s="14">
        <f>C10*X$115*$K$12</f>
        <v>275.49939999999998</v>
      </c>
      <c r="Y125" s="14">
        <f>D10*Y$115*$K$12</f>
        <v>280.83440000000002</v>
      </c>
      <c r="Z125" s="14">
        <f>E10*Z$115*$K$12</f>
        <v>32.591999999999999</v>
      </c>
      <c r="AA125" s="13"/>
      <c r="AB125" s="14">
        <f>B10*AB$115*$K$12</f>
        <v>2722.1109999999999</v>
      </c>
      <c r="AC125" s="14">
        <f>C10*AC$115*$K$12</f>
        <v>500.90799999999996</v>
      </c>
      <c r="AD125" s="14">
        <f>D10*AD$115*$K$12</f>
        <v>320.95359999999999</v>
      </c>
      <c r="AE125" s="14">
        <f>E10*AE$115*$K$12</f>
        <v>45.832499999999996</v>
      </c>
      <c r="AF125" s="13"/>
      <c r="AG125" s="14">
        <f>B10*AG$115*$K$12</f>
        <v>1289.4209999999998</v>
      </c>
      <c r="AH125" s="14">
        <f>C10*AH$115*$K$12</f>
        <v>150.27239999999998</v>
      </c>
      <c r="AI125" s="14">
        <f>D10*AI$115*$K$12</f>
        <v>80.238399999999999</v>
      </c>
      <c r="AJ125" s="14">
        <f>E10*AJ$115*$K$12</f>
        <v>12.222</v>
      </c>
      <c r="AK125" s="13"/>
      <c r="AL125" s="14">
        <f>B10*AL$115</f>
        <v>7385</v>
      </c>
      <c r="AM125" s="14">
        <f>C10*AM$115</f>
        <v>1291</v>
      </c>
      <c r="AN125" s="14">
        <f>D10*AN$115</f>
        <v>1034</v>
      </c>
      <c r="AO125" s="14">
        <f>E10*AO$115</f>
        <v>105</v>
      </c>
      <c r="AP125" s="13"/>
      <c r="AQ125" s="13"/>
      <c r="AR125" s="13"/>
    </row>
    <row r="126" spans="1:44" x14ac:dyDescent="0.15">
      <c r="A126" s="13" t="s">
        <v>30</v>
      </c>
      <c r="B126" s="14">
        <f>H126+M126+R126+W126+AB126+AG126+AL126</f>
        <v>18541.564999999999</v>
      </c>
      <c r="C126" s="14">
        <f>I126+N126+S126+X126+AC126+AH126+AM126</f>
        <v>2847.5475000000001</v>
      </c>
      <c r="D126" s="14">
        <f>J126+O126+T126+Y126+AD126+AI126+AN126</f>
        <v>2025.6391999999998</v>
      </c>
      <c r="E126" s="14">
        <f>K126+P126+U126+Z126+AE126+AJ126+AO126</f>
        <v>272.5179</v>
      </c>
      <c r="F126" s="19">
        <f>F11</f>
        <v>121</v>
      </c>
      <c r="G126" s="13"/>
      <c r="H126" s="14">
        <f>B11*H$115*$K$12</f>
        <v>1521.5419999999999</v>
      </c>
      <c r="I126" s="14">
        <f>C11*I$115*$K$12</f>
        <v>191.18699999999998</v>
      </c>
      <c r="J126" s="14">
        <f>D11*J$115*$K$12</f>
        <v>117.27299999999998</v>
      </c>
      <c r="K126" s="14">
        <f>E11*K$115*$K$12</f>
        <v>18.042000000000002</v>
      </c>
      <c r="L126" s="13"/>
      <c r="M126" s="14">
        <f>B11*M$115*$K$12</f>
        <v>1729.0249999999999</v>
      </c>
      <c r="N126" s="14">
        <f>C11*N$115*$K$12</f>
        <v>297.40199999999999</v>
      </c>
      <c r="O126" s="14">
        <f>D11*O$115*$K$12</f>
        <v>273.63699999999994</v>
      </c>
      <c r="P126" s="14">
        <f>E11*P$115*$K$12</f>
        <v>36.084000000000003</v>
      </c>
      <c r="Q126" s="13"/>
      <c r="R126" s="14">
        <f>B11*R$115*$K$12</f>
        <v>2904.7619999999997</v>
      </c>
      <c r="S126" s="14">
        <f>C11*S$115*$K$12</f>
        <v>477.96749999999997</v>
      </c>
      <c r="T126" s="14">
        <f>D11*T$115*$K$12</f>
        <v>297.09160000000003</v>
      </c>
      <c r="U126" s="14">
        <f>E11*U$115*$K$12</f>
        <v>45.104999999999997</v>
      </c>
      <c r="V126" s="13"/>
      <c r="W126" s="14">
        <f>B11*W$115*$K$12</f>
        <v>1383.22</v>
      </c>
      <c r="X126" s="14">
        <f>C11*X$115*$K$12</f>
        <v>233.673</v>
      </c>
      <c r="Y126" s="14">
        <f>D11*Y$115*$K$12</f>
        <v>218.90960000000004</v>
      </c>
      <c r="Z126" s="14">
        <f>E11*Z$115*$K$12</f>
        <v>28.8672</v>
      </c>
      <c r="AA126" s="13"/>
      <c r="AB126" s="14">
        <f>B11*AB$115*$K$12</f>
        <v>2628.1179999999999</v>
      </c>
      <c r="AC126" s="14">
        <f>C11*AC$115*$K$12</f>
        <v>424.86</v>
      </c>
      <c r="AD126" s="14">
        <f>D11*AD$115*$K$12</f>
        <v>250.1824</v>
      </c>
      <c r="AE126" s="14">
        <f>E11*AE$115*$K$12</f>
        <v>40.594500000000004</v>
      </c>
      <c r="AF126" s="13"/>
      <c r="AG126" s="14">
        <f>B11*AG$115*$K$12</f>
        <v>1244.8979999999999</v>
      </c>
      <c r="AH126" s="14">
        <f>C11*AH$115*$K$12</f>
        <v>127.458</v>
      </c>
      <c r="AI126" s="14">
        <f>D11*AI$115*$K$12</f>
        <v>62.5456</v>
      </c>
      <c r="AJ126" s="14">
        <f>E11*AJ$115*$K$12</f>
        <v>10.825200000000001</v>
      </c>
      <c r="AK126" s="13"/>
      <c r="AL126" s="14">
        <f>B11*AL$115</f>
        <v>7130</v>
      </c>
      <c r="AM126" s="14">
        <f>C11*AM$115</f>
        <v>1095</v>
      </c>
      <c r="AN126" s="14">
        <f>D11*AN$115</f>
        <v>806</v>
      </c>
      <c r="AO126" s="14">
        <f>E11*AO$115</f>
        <v>93</v>
      </c>
      <c r="AP126" s="13"/>
      <c r="AQ126" s="13"/>
      <c r="AR126" s="13"/>
    </row>
    <row r="127" spans="1:44" x14ac:dyDescent="0.15">
      <c r="A127" s="13"/>
      <c r="B127" s="13"/>
      <c r="C127" s="13"/>
      <c r="D127" s="13"/>
      <c r="E127" s="13"/>
      <c r="F127" s="13"/>
      <c r="G127" s="13"/>
      <c r="H127" s="23">
        <v>0.2</v>
      </c>
      <c r="I127" s="23">
        <v>0.16</v>
      </c>
      <c r="J127" s="23">
        <v>0.14000000000000001</v>
      </c>
      <c r="K127" s="23">
        <v>0.18</v>
      </c>
      <c r="L127" s="13"/>
      <c r="M127" s="25">
        <v>0.25</v>
      </c>
      <c r="N127" s="25">
        <v>0.28000000000000003</v>
      </c>
      <c r="O127" s="25">
        <v>0.35</v>
      </c>
      <c r="P127" s="25">
        <v>0.4</v>
      </c>
      <c r="Q127" s="13"/>
      <c r="R127" s="27">
        <v>0.45</v>
      </c>
      <c r="S127" s="27">
        <v>0.48</v>
      </c>
      <c r="T127" s="27">
        <v>0.4</v>
      </c>
      <c r="U127" s="27">
        <v>0.52</v>
      </c>
      <c r="V127" s="13"/>
      <c r="W127" s="25">
        <v>0.16</v>
      </c>
      <c r="X127" s="25">
        <v>0.18</v>
      </c>
      <c r="Y127" s="25">
        <v>0.2</v>
      </c>
      <c r="Z127" s="25">
        <v>0.22</v>
      </c>
      <c r="AA127" s="13"/>
      <c r="AB127" s="27">
        <v>0.32</v>
      </c>
      <c r="AC127" s="27">
        <v>0.34</v>
      </c>
      <c r="AD127" s="27">
        <v>0.28000000000000003</v>
      </c>
      <c r="AE127" s="27">
        <v>0.38</v>
      </c>
      <c r="AF127" s="13"/>
      <c r="AG127" s="29">
        <v>0</v>
      </c>
      <c r="AH127" s="29">
        <v>0</v>
      </c>
      <c r="AI127" s="29">
        <v>0</v>
      </c>
      <c r="AJ127" s="29">
        <v>0</v>
      </c>
      <c r="AK127" s="13"/>
      <c r="AL127" s="31">
        <v>0</v>
      </c>
      <c r="AM127" s="31">
        <v>0</v>
      </c>
      <c r="AN127" s="31">
        <v>0</v>
      </c>
      <c r="AO127" s="31">
        <v>0</v>
      </c>
      <c r="AP127" s="13"/>
      <c r="AQ127" s="33" t="s">
        <v>118</v>
      </c>
      <c r="AR127" s="33"/>
    </row>
    <row r="128" spans="1:44" ht="14" x14ac:dyDescent="0.15">
      <c r="A128" s="22" t="s">
        <v>132</v>
      </c>
      <c r="B128" s="22"/>
      <c r="C128" s="22"/>
      <c r="D128" s="22"/>
      <c r="E128" s="22"/>
      <c r="F128" s="22"/>
      <c r="G128" s="13"/>
      <c r="H128" s="24" t="s">
        <v>82</v>
      </c>
      <c r="I128" s="24"/>
      <c r="J128" s="24"/>
      <c r="K128" s="24"/>
      <c r="L128" s="13"/>
      <c r="M128" s="26" t="s">
        <v>83</v>
      </c>
      <c r="N128" s="26"/>
      <c r="O128" s="26"/>
      <c r="P128" s="26"/>
      <c r="Q128" s="13"/>
      <c r="R128" s="28" t="s">
        <v>84</v>
      </c>
      <c r="S128" s="28"/>
      <c r="T128" s="28"/>
      <c r="U128" s="28"/>
      <c r="V128" s="13"/>
      <c r="W128" s="26" t="s">
        <v>129</v>
      </c>
      <c r="X128" s="26"/>
      <c r="Y128" s="26"/>
      <c r="Z128" s="26"/>
      <c r="AA128" s="13"/>
      <c r="AB128" s="28" t="s">
        <v>130</v>
      </c>
      <c r="AC128" s="28"/>
      <c r="AD128" s="28"/>
      <c r="AE128" s="28"/>
      <c r="AF128" s="13"/>
      <c r="AG128" s="30" t="s">
        <v>125</v>
      </c>
      <c r="AH128" s="30"/>
      <c r="AI128" s="30"/>
      <c r="AJ128" s="30"/>
      <c r="AK128" s="13"/>
      <c r="AL128" s="32" t="s">
        <v>131</v>
      </c>
      <c r="AM128" s="32"/>
      <c r="AN128" s="32"/>
      <c r="AO128" s="32"/>
      <c r="AP128" s="13"/>
      <c r="AQ128" s="13" t="s">
        <v>36</v>
      </c>
      <c r="AR128" s="34">
        <v>30</v>
      </c>
    </row>
    <row r="129" spans="1:44" x14ac:dyDescent="0.15">
      <c r="A129" s="17" t="s">
        <v>2</v>
      </c>
      <c r="B129" s="17" t="s">
        <v>3</v>
      </c>
      <c r="C129" s="17" t="s">
        <v>4</v>
      </c>
      <c r="D129" s="17" t="s">
        <v>5</v>
      </c>
      <c r="E129" s="17" t="s">
        <v>6</v>
      </c>
      <c r="F129" s="17" t="s">
        <v>7</v>
      </c>
      <c r="G129" s="13"/>
      <c r="H129" s="17" t="s">
        <v>3</v>
      </c>
      <c r="I129" s="17" t="s">
        <v>4</v>
      </c>
      <c r="J129" s="17" t="s">
        <v>5</v>
      </c>
      <c r="K129" s="17" t="s">
        <v>6</v>
      </c>
      <c r="L129" s="13"/>
      <c r="M129" s="17" t="s">
        <v>3</v>
      </c>
      <c r="N129" s="17" t="s">
        <v>4</v>
      </c>
      <c r="O129" s="17" t="s">
        <v>5</v>
      </c>
      <c r="P129" s="17" t="s">
        <v>6</v>
      </c>
      <c r="Q129" s="13"/>
      <c r="R129" s="17" t="s">
        <v>3</v>
      </c>
      <c r="S129" s="17" t="s">
        <v>4</v>
      </c>
      <c r="T129" s="17" t="s">
        <v>5</v>
      </c>
      <c r="U129" s="17" t="s">
        <v>6</v>
      </c>
      <c r="V129" s="13"/>
      <c r="W129" s="17" t="s">
        <v>3</v>
      </c>
      <c r="X129" s="17" t="s">
        <v>4</v>
      </c>
      <c r="Y129" s="17" t="s">
        <v>5</v>
      </c>
      <c r="Z129" s="17" t="s">
        <v>6</v>
      </c>
      <c r="AA129" s="13"/>
      <c r="AB129" s="17" t="s">
        <v>3</v>
      </c>
      <c r="AC129" s="17" t="s">
        <v>4</v>
      </c>
      <c r="AD129" s="17" t="s">
        <v>5</v>
      </c>
      <c r="AE129" s="17" t="s">
        <v>6</v>
      </c>
      <c r="AF129" s="13"/>
      <c r="AG129" s="17" t="s">
        <v>3</v>
      </c>
      <c r="AH129" s="17" t="s">
        <v>4</v>
      </c>
      <c r="AI129" s="17" t="s">
        <v>5</v>
      </c>
      <c r="AJ129" s="17" t="s">
        <v>6</v>
      </c>
      <c r="AK129" s="13"/>
      <c r="AL129" s="17" t="s">
        <v>3</v>
      </c>
      <c r="AM129" s="17" t="s">
        <v>4</v>
      </c>
      <c r="AN129" s="17" t="s">
        <v>5</v>
      </c>
      <c r="AO129" s="17" t="s">
        <v>6</v>
      </c>
      <c r="AP129" s="13"/>
      <c r="AQ129" s="13" t="s">
        <v>91</v>
      </c>
      <c r="AR129" s="34">
        <v>30</v>
      </c>
    </row>
    <row r="130" spans="1:44" x14ac:dyDescent="0.15">
      <c r="A130" s="13" t="s">
        <v>14</v>
      </c>
      <c r="B130" s="14">
        <f>H130+M130+R130+W130+AB130+AG130+AL130</f>
        <v>7763.8799999999992</v>
      </c>
      <c r="C130" s="14">
        <f>I130+N130+S130+X130+AC130+AH130+AM130</f>
        <v>563.04</v>
      </c>
      <c r="D130" s="14">
        <f>J130+O130+T130+Y130+AD130+AI130+AN130</f>
        <v>137</v>
      </c>
      <c r="E130" s="14">
        <f>K130+P130+U130+Z130+AE130+AJ130+AO130</f>
        <v>52.7</v>
      </c>
      <c r="F130" s="19">
        <f>F3</f>
        <v>85</v>
      </c>
      <c r="G130" s="13"/>
      <c r="H130" s="14">
        <f>B3*H$127*$K$13</f>
        <v>1125.2</v>
      </c>
      <c r="I130" s="14">
        <f>C3*I$127*$K$13</f>
        <v>62.56</v>
      </c>
      <c r="J130" s="14">
        <f>D3*J$127*$K$13</f>
        <v>14.000000000000002</v>
      </c>
      <c r="K130" s="14">
        <f>E3*K$127*$K$13</f>
        <v>5.58</v>
      </c>
      <c r="L130" s="13"/>
      <c r="M130" s="14">
        <f>B3*M$127*$K$13</f>
        <v>1406.5</v>
      </c>
      <c r="N130" s="14">
        <f>C3*N$127*$K$13</f>
        <v>109.48</v>
      </c>
      <c r="O130" s="14">
        <f>D3*O$127*$K$13</f>
        <v>35</v>
      </c>
      <c r="P130" s="14">
        <f>E3*P$127*$K$13</f>
        <v>12.4</v>
      </c>
      <c r="Q130" s="13"/>
      <c r="R130" s="14">
        <f>B3*R$127*$K$13</f>
        <v>2531.7000000000003</v>
      </c>
      <c r="S130" s="14">
        <f>C3*S$127*$K$13</f>
        <v>187.68</v>
      </c>
      <c r="T130" s="14">
        <f>D3*T$127*$K$13</f>
        <v>40</v>
      </c>
      <c r="U130" s="14">
        <f>E3*U$127*$K$13</f>
        <v>16.12</v>
      </c>
      <c r="V130" s="13"/>
      <c r="W130" s="14">
        <f>B3*W$127*$K$13</f>
        <v>900.16</v>
      </c>
      <c r="X130" s="14">
        <f>C3*X$127*$K$13</f>
        <v>70.38</v>
      </c>
      <c r="Y130" s="14">
        <f>D3*Y$127*$K$13</f>
        <v>20</v>
      </c>
      <c r="Z130" s="14">
        <f>E3*Z$127*$K$13</f>
        <v>6.82</v>
      </c>
      <c r="AA130" s="13"/>
      <c r="AB130" s="14">
        <f>B3*AB$127*$K$13</f>
        <v>1800.32</v>
      </c>
      <c r="AC130" s="14">
        <f>C3*AC$127*$K$13</f>
        <v>132.94</v>
      </c>
      <c r="AD130" s="14">
        <f>D3*AD$127*$K$13</f>
        <v>28.000000000000004</v>
      </c>
      <c r="AE130" s="14">
        <f>E3*AE$127*$K$13</f>
        <v>11.78</v>
      </c>
      <c r="AF130" s="13"/>
      <c r="AG130" s="14">
        <f>B3*AG$127*$K$13</f>
        <v>0</v>
      </c>
      <c r="AH130" s="14">
        <f>C3*AH$127*$K$13</f>
        <v>0</v>
      </c>
      <c r="AI130" s="14">
        <f>D3*AI$127*$K$13</f>
        <v>0</v>
      </c>
      <c r="AJ130" s="14">
        <f>E3*AJ$127*$K$13</f>
        <v>0</v>
      </c>
      <c r="AK130" s="13"/>
      <c r="AL130" s="14">
        <f>B3*AL$127</f>
        <v>0</v>
      </c>
      <c r="AM130" s="14">
        <f>C3*AM$127</f>
        <v>0</v>
      </c>
      <c r="AN130" s="14">
        <f>D3*AN$127</f>
        <v>0</v>
      </c>
      <c r="AO130" s="14">
        <f>E3*AO$127</f>
        <v>0</v>
      </c>
      <c r="AP130" s="13"/>
      <c r="AQ130" s="13" t="s">
        <v>92</v>
      </c>
      <c r="AR130" s="34">
        <v>60</v>
      </c>
    </row>
    <row r="131" spans="1:44" x14ac:dyDescent="0.15">
      <c r="A131" s="13" t="s">
        <v>15</v>
      </c>
      <c r="B131" s="14">
        <f>H131+M131+R131+W131+AB131+AG131+AL131</f>
        <v>7572.06</v>
      </c>
      <c r="C131" s="14">
        <f>I131+N131+S131+X131+AC131+AH131+AM131</f>
        <v>524.16</v>
      </c>
      <c r="D131" s="14">
        <f>J131+O131+T131+Y131+AD131+AI131+AN131</f>
        <v>191.8</v>
      </c>
      <c r="E131" s="14">
        <f>K131+P131+U131+Z131+AE131+AJ131+AO131</f>
        <v>51</v>
      </c>
      <c r="F131" s="19">
        <f>F4</f>
        <v>81</v>
      </c>
      <c r="G131" s="13"/>
      <c r="H131" s="14">
        <f>B4*H$127*$K$13</f>
        <v>1097.4000000000001</v>
      </c>
      <c r="I131" s="14">
        <f>C4*I$127*$K$13</f>
        <v>58.24</v>
      </c>
      <c r="J131" s="14">
        <f>D4*J$127*$K$13</f>
        <v>19.600000000000001</v>
      </c>
      <c r="K131" s="14">
        <f>E4*K$127*$K$13</f>
        <v>5.3999999999999995</v>
      </c>
      <c r="L131" s="13"/>
      <c r="M131" s="14">
        <f>B4*M$127*$K$13</f>
        <v>1371.75</v>
      </c>
      <c r="N131" s="14">
        <f>C4*N$127*$K$13</f>
        <v>101.92000000000002</v>
      </c>
      <c r="O131" s="14">
        <f>D4*O$127*$K$13</f>
        <v>49</v>
      </c>
      <c r="P131" s="14">
        <f>E4*P$127*$K$13</f>
        <v>12</v>
      </c>
      <c r="Q131" s="13"/>
      <c r="R131" s="14">
        <f>B4*R$127*$K$13</f>
        <v>2469.15</v>
      </c>
      <c r="S131" s="14">
        <f>C4*S$127*$K$13</f>
        <v>174.72</v>
      </c>
      <c r="T131" s="14">
        <f>D4*T$127*$K$13</f>
        <v>56</v>
      </c>
      <c r="U131" s="14">
        <f>E4*U$127*$K$13</f>
        <v>15.600000000000001</v>
      </c>
      <c r="V131" s="13"/>
      <c r="W131" s="14">
        <f>B4*W$127*$K$13</f>
        <v>877.92000000000007</v>
      </c>
      <c r="X131" s="14">
        <f>C4*X$127*$K$13</f>
        <v>65.52</v>
      </c>
      <c r="Y131" s="14">
        <f>D4*Y$127*$K$13</f>
        <v>28</v>
      </c>
      <c r="Z131" s="14">
        <f>E4*Z$127*$K$13</f>
        <v>6.6</v>
      </c>
      <c r="AA131" s="13"/>
      <c r="AB131" s="14">
        <f>B4*AB$127*$K$13</f>
        <v>1755.8400000000001</v>
      </c>
      <c r="AC131" s="14">
        <f>C4*AC$127*$K$13</f>
        <v>123.76</v>
      </c>
      <c r="AD131" s="14">
        <f>D4*AD$127*$K$13</f>
        <v>39.200000000000003</v>
      </c>
      <c r="AE131" s="14">
        <f>E4*AE$127*$K$13</f>
        <v>11.4</v>
      </c>
      <c r="AF131" s="13"/>
      <c r="AG131" s="14">
        <f>B4*AG$127*$K$13</f>
        <v>0</v>
      </c>
      <c r="AH131" s="14">
        <f>C4*AH$127*$K$13</f>
        <v>0</v>
      </c>
      <c r="AI131" s="14">
        <f>D4*AI$127*$K$13</f>
        <v>0</v>
      </c>
      <c r="AJ131" s="14">
        <f>E4*AJ$127*$K$13</f>
        <v>0</v>
      </c>
      <c r="AK131" s="13"/>
      <c r="AL131" s="14">
        <f>B4*AL$127</f>
        <v>0</v>
      </c>
      <c r="AM131" s="14">
        <f>C4*AM$127</f>
        <v>0</v>
      </c>
      <c r="AN131" s="14">
        <f>D4*AN$127</f>
        <v>0</v>
      </c>
      <c r="AO131" s="14">
        <f>E4*AO$127</f>
        <v>0</v>
      </c>
      <c r="AP131" s="13"/>
      <c r="AQ131" s="13" t="s">
        <v>133</v>
      </c>
      <c r="AR131" s="34">
        <v>20</v>
      </c>
    </row>
    <row r="132" spans="1:44" x14ac:dyDescent="0.15">
      <c r="A132" s="13" t="s">
        <v>18</v>
      </c>
      <c r="B132" s="14">
        <f>H132+M132+R132+W132+AB132+AG132+AL132</f>
        <v>8706.4200000000019</v>
      </c>
      <c r="C132" s="14">
        <f>I132+N132+S132+X132+AC132+AH132+AM132</f>
        <v>810.72</v>
      </c>
      <c r="D132" s="14">
        <f>J132+O132+T132+Y132+AD132+AI132+AN132</f>
        <v>389.08000000000004</v>
      </c>
      <c r="E132" s="14">
        <f>K132+P132+U132+Z132+AE132+AJ132+AO132</f>
        <v>90.100000000000009</v>
      </c>
      <c r="F132" s="19">
        <f>F5</f>
        <v>103</v>
      </c>
      <c r="G132" s="13"/>
      <c r="H132" s="14">
        <f>B5*H$127*$K$13</f>
        <v>1261.8000000000002</v>
      </c>
      <c r="I132" s="14">
        <f>C5*I$127*$K$13</f>
        <v>90.08</v>
      </c>
      <c r="J132" s="14">
        <f>D5*J$127*$K$13</f>
        <v>39.760000000000005</v>
      </c>
      <c r="K132" s="14">
        <f>E5*K$127*$K$13</f>
        <v>9.5399999999999991</v>
      </c>
      <c r="L132" s="13"/>
      <c r="M132" s="14">
        <f>B5*M$127*$K$13</f>
        <v>1577.25</v>
      </c>
      <c r="N132" s="14">
        <f>C5*N$127*$K$13</f>
        <v>157.64000000000001</v>
      </c>
      <c r="O132" s="14">
        <f>D5*O$127*$K$13</f>
        <v>99.399999999999991</v>
      </c>
      <c r="P132" s="14">
        <f>E5*P$127*$K$13</f>
        <v>21.200000000000003</v>
      </c>
      <c r="Q132" s="13"/>
      <c r="R132" s="14">
        <f>B5*R$127*$K$13</f>
        <v>2839.05</v>
      </c>
      <c r="S132" s="14">
        <f>C5*S$127*$K$13</f>
        <v>270.24</v>
      </c>
      <c r="T132" s="14">
        <f>D5*T$127*$K$13</f>
        <v>113.60000000000001</v>
      </c>
      <c r="U132" s="14">
        <f>E5*U$127*$K$13</f>
        <v>27.560000000000002</v>
      </c>
      <c r="V132" s="13"/>
      <c r="W132" s="14">
        <f>B5*W$127*$K$13</f>
        <v>1009.44</v>
      </c>
      <c r="X132" s="14">
        <f>C5*X$127*$K$13</f>
        <v>101.33999999999999</v>
      </c>
      <c r="Y132" s="14">
        <f>D5*Y$127*$K$13</f>
        <v>56.800000000000004</v>
      </c>
      <c r="Z132" s="14">
        <f>E5*Z$127*$K$13</f>
        <v>11.66</v>
      </c>
      <c r="AA132" s="13"/>
      <c r="AB132" s="14">
        <f>B5*AB$127*$K$13</f>
        <v>2018.88</v>
      </c>
      <c r="AC132" s="14">
        <f>C5*AC$127*$K$13</f>
        <v>191.42000000000002</v>
      </c>
      <c r="AD132" s="14">
        <f>D5*AD$127*$K$13</f>
        <v>79.52000000000001</v>
      </c>
      <c r="AE132" s="14">
        <f>E5*AE$127*$K$13</f>
        <v>20.14</v>
      </c>
      <c r="AF132" s="13"/>
      <c r="AG132" s="14">
        <f>B5*AG$127*$K$13</f>
        <v>0</v>
      </c>
      <c r="AH132" s="14">
        <f>C5*AH$127*$K$13</f>
        <v>0</v>
      </c>
      <c r="AI132" s="14">
        <f>D5*AI$127*$K$13</f>
        <v>0</v>
      </c>
      <c r="AJ132" s="14">
        <f>E5*AJ$127*$K$13</f>
        <v>0</v>
      </c>
      <c r="AK132" s="13"/>
      <c r="AL132" s="14">
        <f>B5*AL$127</f>
        <v>0</v>
      </c>
      <c r="AM132" s="14">
        <f>C5*AM$127</f>
        <v>0</v>
      </c>
      <c r="AN132" s="14">
        <f>D5*AN$127</f>
        <v>0</v>
      </c>
      <c r="AO132" s="14">
        <f>E5*AO$127</f>
        <v>0</v>
      </c>
      <c r="AP132" s="13"/>
      <c r="AQ132" s="13" t="s">
        <v>134</v>
      </c>
      <c r="AR132" s="34">
        <v>45</v>
      </c>
    </row>
    <row r="133" spans="1:44" x14ac:dyDescent="0.15">
      <c r="A133" s="13" t="s">
        <v>20</v>
      </c>
      <c r="B133" s="14">
        <f>H133+M133+R133+W133+AB133+AG133+AL133</f>
        <v>8830.6200000000008</v>
      </c>
      <c r="C133" s="14">
        <f>I133+N133+S133+X133+AC133+AH133+AM133</f>
        <v>1005.12</v>
      </c>
      <c r="D133" s="14">
        <f>J133+O133+T133+Y133+AD133+AI133+AN133</f>
        <v>487.72</v>
      </c>
      <c r="E133" s="14">
        <f>K133+P133+U133+Z133+AE133+AJ133+AO133</f>
        <v>120.7</v>
      </c>
      <c r="F133" s="19">
        <f>F6</f>
        <v>106</v>
      </c>
      <c r="G133" s="13"/>
      <c r="H133" s="14">
        <f>B6*H$127*$K$13</f>
        <v>1279.8000000000002</v>
      </c>
      <c r="I133" s="14">
        <f>C6*I$127*$K$13</f>
        <v>111.68</v>
      </c>
      <c r="J133" s="14">
        <f>D6*J$127*$K$13</f>
        <v>49.84</v>
      </c>
      <c r="K133" s="14">
        <f>E6*K$127*$K$13</f>
        <v>12.78</v>
      </c>
      <c r="L133" s="13"/>
      <c r="M133" s="14">
        <f>B6*M$127*$K$13</f>
        <v>1599.75</v>
      </c>
      <c r="N133" s="14">
        <f>C6*N$127*$K$13</f>
        <v>195.44000000000003</v>
      </c>
      <c r="O133" s="14">
        <f>D6*O$127*$K$13</f>
        <v>124.6</v>
      </c>
      <c r="P133" s="14">
        <f>E6*P$127*$K$13</f>
        <v>28.400000000000002</v>
      </c>
      <c r="Q133" s="13"/>
      <c r="R133" s="14">
        <f>B6*R$127*$K$13</f>
        <v>2879.55</v>
      </c>
      <c r="S133" s="14">
        <f>C6*S$127*$K$13</f>
        <v>335.03999999999996</v>
      </c>
      <c r="T133" s="14">
        <f>D6*T$127*$K$13</f>
        <v>142.4</v>
      </c>
      <c r="U133" s="14">
        <f>E6*U$127*$K$13</f>
        <v>36.92</v>
      </c>
      <c r="V133" s="13"/>
      <c r="W133" s="14">
        <f>B6*W$127*$K$13</f>
        <v>1023.84</v>
      </c>
      <c r="X133" s="14">
        <f>C6*X$127*$K$13</f>
        <v>125.64</v>
      </c>
      <c r="Y133" s="14">
        <f>D6*Y$127*$K$13</f>
        <v>71.2</v>
      </c>
      <c r="Z133" s="14">
        <f>E6*Z$127*$K$13</f>
        <v>15.62</v>
      </c>
      <c r="AA133" s="13"/>
      <c r="AB133" s="14">
        <f>B6*AB$127*$K$13</f>
        <v>2047.68</v>
      </c>
      <c r="AC133" s="14">
        <f>C6*AC$127*$K$13</f>
        <v>237.32000000000002</v>
      </c>
      <c r="AD133" s="14">
        <f>D6*AD$127*$K$13</f>
        <v>99.68</v>
      </c>
      <c r="AE133" s="14">
        <f>E6*AE$127*$K$13</f>
        <v>26.98</v>
      </c>
      <c r="AF133" s="13"/>
      <c r="AG133" s="14">
        <f>B6*AG$127*$K$13</f>
        <v>0</v>
      </c>
      <c r="AH133" s="14">
        <f>C6*AH$127*$K$13</f>
        <v>0</v>
      </c>
      <c r="AI133" s="14">
        <f>D6*AI$127*$K$13</f>
        <v>0</v>
      </c>
      <c r="AJ133" s="14">
        <f>E6*AJ$127*$K$13</f>
        <v>0</v>
      </c>
      <c r="AK133" s="13"/>
      <c r="AL133" s="14">
        <f>B6*AL$127</f>
        <v>0</v>
      </c>
      <c r="AM133" s="14">
        <f>C6*AM$127</f>
        <v>0</v>
      </c>
      <c r="AN133" s="14">
        <f>D6*AN$127</f>
        <v>0</v>
      </c>
      <c r="AO133" s="14">
        <f>E6*AO$127</f>
        <v>0</v>
      </c>
      <c r="AP133" s="13"/>
      <c r="AQ133" s="13" t="s">
        <v>135</v>
      </c>
      <c r="AR133" s="34">
        <v>0</v>
      </c>
    </row>
    <row r="134" spans="1:44" x14ac:dyDescent="0.15">
      <c r="A134" s="13" t="s">
        <v>22</v>
      </c>
      <c r="B134" s="14">
        <f>H134+M134+R134+W134+AB134+AG134+AL134</f>
        <v>8947.9200000000019</v>
      </c>
      <c r="C134" s="14">
        <f>I134+N134+S134+X134+AC134+AH134+AM134</f>
        <v>1717.92</v>
      </c>
      <c r="D134" s="14">
        <f>J134+O134+T134+Y134+AD134+AI134+AN134</f>
        <v>1122.03</v>
      </c>
      <c r="E134" s="14">
        <f>K134+P134+U134+Z134+AE134+AJ134+AO134</f>
        <v>173.4</v>
      </c>
      <c r="F134" s="19">
        <f>F7</f>
        <v>106</v>
      </c>
      <c r="G134" s="13"/>
      <c r="H134" s="14">
        <f>B7*H$127*$K$13</f>
        <v>1296.8000000000002</v>
      </c>
      <c r="I134" s="14">
        <f>C7*I$127*$K$13</f>
        <v>190.88</v>
      </c>
      <c r="J134" s="14">
        <f>D7*J$127*$K$13</f>
        <v>114.66000000000001</v>
      </c>
      <c r="K134" s="14">
        <f>E7*K$127*$K$13</f>
        <v>18.36</v>
      </c>
      <c r="L134" s="13"/>
      <c r="M134" s="14">
        <f>B7*M$127*$K$13</f>
        <v>1621</v>
      </c>
      <c r="N134" s="14">
        <f>C7*N$127*$K$13</f>
        <v>334.04</v>
      </c>
      <c r="O134" s="14">
        <f>D7*O$127*$K$13</f>
        <v>286.64999999999998</v>
      </c>
      <c r="P134" s="14">
        <f>E7*P$127*$K$13</f>
        <v>40.800000000000004</v>
      </c>
      <c r="Q134" s="13"/>
      <c r="R134" s="14">
        <f>B7*R$127*$K$13</f>
        <v>2917.8</v>
      </c>
      <c r="S134" s="14">
        <f>C7*S$127*$K$13</f>
        <v>572.64</v>
      </c>
      <c r="T134" s="14">
        <f>D7*T$127*$K$13</f>
        <v>327.60000000000002</v>
      </c>
      <c r="U134" s="14">
        <f>E7*U$127*$K$13</f>
        <v>53.04</v>
      </c>
      <c r="V134" s="13"/>
      <c r="W134" s="14">
        <f>B7*W$127*$K$13</f>
        <v>1037.44</v>
      </c>
      <c r="X134" s="14">
        <f>C7*X$127*$K$13</f>
        <v>214.73999999999998</v>
      </c>
      <c r="Y134" s="14">
        <f>D7*Y$127*$K$13</f>
        <v>163.80000000000001</v>
      </c>
      <c r="Z134" s="14">
        <f>E7*Z$127*$K$13</f>
        <v>22.44</v>
      </c>
      <c r="AA134" s="13"/>
      <c r="AB134" s="14">
        <f>B7*AB$127*$K$13</f>
        <v>2074.88</v>
      </c>
      <c r="AC134" s="14">
        <f>C7*AC$127*$K$13</f>
        <v>405.62</v>
      </c>
      <c r="AD134" s="14">
        <f>D7*AD$127*$K$13</f>
        <v>229.32000000000002</v>
      </c>
      <c r="AE134" s="14">
        <f>E7*AE$127*$K$13</f>
        <v>38.76</v>
      </c>
      <c r="AF134" s="13"/>
      <c r="AG134" s="14">
        <f>B7*AG$127*$K$13</f>
        <v>0</v>
      </c>
      <c r="AH134" s="14">
        <f>C7*AH$127*$K$13</f>
        <v>0</v>
      </c>
      <c r="AI134" s="14">
        <f>D7*AI$127*$K$13</f>
        <v>0</v>
      </c>
      <c r="AJ134" s="14">
        <f>E7*AJ$127*$K$13</f>
        <v>0</v>
      </c>
      <c r="AK134" s="13"/>
      <c r="AL134" s="14">
        <f>B7*AL$127</f>
        <v>0</v>
      </c>
      <c r="AM134" s="14">
        <f>C7*AM$127</f>
        <v>0</v>
      </c>
      <c r="AN134" s="14">
        <f>D7*AN$127</f>
        <v>0</v>
      </c>
      <c r="AO134" s="14">
        <f>E7*AO$127</f>
        <v>0</v>
      </c>
      <c r="AP134" s="13"/>
      <c r="AQ134" s="13" t="s">
        <v>136</v>
      </c>
      <c r="AR134" s="34">
        <v>0</v>
      </c>
    </row>
    <row r="135" spans="1:44" x14ac:dyDescent="0.15">
      <c r="A135" s="13" t="s">
        <v>24</v>
      </c>
      <c r="B135" s="14">
        <f>H135+M135+R135+W135+AB135+AG135+AL135</f>
        <v>8357.2799999999988</v>
      </c>
      <c r="C135" s="14">
        <f>I135+N135+S135+X135+AC135+AH135+AM135</f>
        <v>951.84</v>
      </c>
      <c r="D135" s="14">
        <f>J135+O135+T135+Y135+AD135+AI135+AN135</f>
        <v>368.53000000000003</v>
      </c>
      <c r="E135" s="14">
        <f>K135+P135+U135+Z135+AE135+AJ135+AO135</f>
        <v>147.90000000000003</v>
      </c>
      <c r="F135" s="19">
        <f>F8</f>
        <v>95</v>
      </c>
      <c r="G135" s="13"/>
      <c r="H135" s="14">
        <f>B8*H$127*$K$13</f>
        <v>1211.2</v>
      </c>
      <c r="I135" s="14">
        <f>C8*I$127*$K$13</f>
        <v>105.76</v>
      </c>
      <c r="J135" s="14">
        <f>D8*J$127*$K$13</f>
        <v>37.660000000000004</v>
      </c>
      <c r="K135" s="14">
        <f>E8*K$127*$K$13</f>
        <v>15.66</v>
      </c>
      <c r="L135" s="13"/>
      <c r="M135" s="14">
        <f>B8*M$127*$K$13</f>
        <v>1514</v>
      </c>
      <c r="N135" s="14">
        <f>C8*N$127*$K$13</f>
        <v>185.08</v>
      </c>
      <c r="O135" s="14">
        <f>D8*O$127*$K$13</f>
        <v>94.149999999999991</v>
      </c>
      <c r="P135" s="14">
        <f>E8*P$127*$K$13</f>
        <v>34.800000000000004</v>
      </c>
      <c r="Q135" s="13"/>
      <c r="R135" s="14">
        <f>B8*R$127*$K$13</f>
        <v>2725.2000000000003</v>
      </c>
      <c r="S135" s="14">
        <f>C8*S$127*$K$13</f>
        <v>317.27999999999997</v>
      </c>
      <c r="T135" s="14">
        <f>D8*T$127*$K$13</f>
        <v>107.60000000000001</v>
      </c>
      <c r="U135" s="14">
        <f>E8*U$127*$K$13</f>
        <v>45.24</v>
      </c>
      <c r="V135" s="13"/>
      <c r="W135" s="14">
        <f>B8*W$127*$K$13</f>
        <v>968.96</v>
      </c>
      <c r="X135" s="14">
        <f>C8*X$127*$K$13</f>
        <v>118.97999999999999</v>
      </c>
      <c r="Y135" s="14">
        <f>D8*Y$127*$K$13</f>
        <v>53.800000000000004</v>
      </c>
      <c r="Z135" s="14">
        <f>E8*Z$127*$K$13</f>
        <v>19.14</v>
      </c>
      <c r="AA135" s="13"/>
      <c r="AB135" s="14">
        <f>B8*AB$127*$K$13</f>
        <v>1937.92</v>
      </c>
      <c r="AC135" s="14">
        <f>C8*AC$127*$K$13</f>
        <v>224.74</v>
      </c>
      <c r="AD135" s="14">
        <f>D8*AD$127*$K$13</f>
        <v>75.320000000000007</v>
      </c>
      <c r="AE135" s="14">
        <f>E8*AE$127*$K$13</f>
        <v>33.06</v>
      </c>
      <c r="AF135" s="13"/>
      <c r="AG135" s="14">
        <f>B8*AG$127*$K$13</f>
        <v>0</v>
      </c>
      <c r="AH135" s="14">
        <f>C8*AH$127*$K$13</f>
        <v>0</v>
      </c>
      <c r="AI135" s="14">
        <f>D8*AI$127*$K$13</f>
        <v>0</v>
      </c>
      <c r="AJ135" s="14">
        <f>E8*AJ$127*$K$13</f>
        <v>0</v>
      </c>
      <c r="AK135" s="13"/>
      <c r="AL135" s="14">
        <f>B8*AL$127</f>
        <v>0</v>
      </c>
      <c r="AM135" s="14">
        <f>C8*AM$127</f>
        <v>0</v>
      </c>
      <c r="AN135" s="14">
        <f>D8*AN$127</f>
        <v>0</v>
      </c>
      <c r="AO135" s="14">
        <f>E8*AO$127</f>
        <v>0</v>
      </c>
      <c r="AP135" s="13"/>
      <c r="AQ135" s="15" t="s">
        <v>95</v>
      </c>
      <c r="AR135" s="35">
        <f>SUM(AR128:AR134)</f>
        <v>185</v>
      </c>
    </row>
    <row r="136" spans="1:44" x14ac:dyDescent="0.15">
      <c r="A136" s="13" t="s">
        <v>26</v>
      </c>
      <c r="B136" s="14">
        <f>H136+M136+R136+W136+AB136+AG136+AL136</f>
        <v>9324.66</v>
      </c>
      <c r="C136" s="14">
        <f>I136+N136+S136+X136+AC136+AH136+AM136</f>
        <v>1548</v>
      </c>
      <c r="D136" s="14">
        <f>J136+O136+T136+Y136+AD136+AI136+AN136</f>
        <v>1004.21</v>
      </c>
      <c r="E136" s="14">
        <f>K136+P136+U136+Z136+AE136+AJ136+AO136</f>
        <v>192.10000000000002</v>
      </c>
      <c r="F136" s="19">
        <f>F9</f>
        <v>112</v>
      </c>
      <c r="G136" s="13"/>
      <c r="H136" s="14">
        <f>B9*H$127*$K$13</f>
        <v>1351.4</v>
      </c>
      <c r="I136" s="14">
        <f>C9*I$127*$K$13</f>
        <v>172</v>
      </c>
      <c r="J136" s="14">
        <f>D9*J$127*$K$13</f>
        <v>102.62</v>
      </c>
      <c r="K136" s="14">
        <f>E9*K$127*$K$13</f>
        <v>20.34</v>
      </c>
      <c r="L136" s="13"/>
      <c r="M136" s="14">
        <f>B9*M$127*$K$13</f>
        <v>1689.25</v>
      </c>
      <c r="N136" s="14">
        <f>C9*N$127*$K$13</f>
        <v>301.00000000000006</v>
      </c>
      <c r="O136" s="14">
        <f>D9*O$127*$K$13</f>
        <v>256.55</v>
      </c>
      <c r="P136" s="14">
        <f>E9*P$127*$K$13</f>
        <v>45.2</v>
      </c>
      <c r="Q136" s="13"/>
      <c r="R136" s="14">
        <f>B9*R$127*$K$13</f>
        <v>3040.65</v>
      </c>
      <c r="S136" s="14">
        <f>C9*S$127*$K$13</f>
        <v>516</v>
      </c>
      <c r="T136" s="14">
        <f>D9*T$127*$K$13</f>
        <v>293.2</v>
      </c>
      <c r="U136" s="14">
        <f>E9*U$127*$K$13</f>
        <v>58.760000000000005</v>
      </c>
      <c r="V136" s="13"/>
      <c r="W136" s="14">
        <f>B9*W$127*$K$13</f>
        <v>1081.1200000000001</v>
      </c>
      <c r="X136" s="14">
        <f>C9*X$127*$K$13</f>
        <v>193.5</v>
      </c>
      <c r="Y136" s="14">
        <f>D9*Y$127*$K$13</f>
        <v>146.6</v>
      </c>
      <c r="Z136" s="14">
        <f>E9*Z$127*$K$13</f>
        <v>24.86</v>
      </c>
      <c r="AA136" s="13"/>
      <c r="AB136" s="14">
        <f>B9*AB$127*$K$13</f>
        <v>2162.2400000000002</v>
      </c>
      <c r="AC136" s="14">
        <f>C9*AC$127*$K$13</f>
        <v>365.5</v>
      </c>
      <c r="AD136" s="14">
        <f>D9*AD$127*$K$13</f>
        <v>205.24</v>
      </c>
      <c r="AE136" s="14">
        <f>E9*AE$127*$K$13</f>
        <v>42.94</v>
      </c>
      <c r="AF136" s="13"/>
      <c r="AG136" s="14">
        <f>B9*AG$127*$K$13</f>
        <v>0</v>
      </c>
      <c r="AH136" s="14">
        <f>C9*AH$127*$K$13</f>
        <v>0</v>
      </c>
      <c r="AI136" s="14">
        <f>D9*AI$127*$K$13</f>
        <v>0</v>
      </c>
      <c r="AJ136" s="14">
        <f>E9*AJ$127*$K$13</f>
        <v>0</v>
      </c>
      <c r="AK136" s="13"/>
      <c r="AL136" s="14">
        <f>B9*AL$127</f>
        <v>0</v>
      </c>
      <c r="AM136" s="14">
        <f>C9*AM$127</f>
        <v>0</v>
      </c>
      <c r="AN136" s="14">
        <f>D9*AN$127</f>
        <v>0</v>
      </c>
      <c r="AO136" s="14">
        <f>E9*AO$127</f>
        <v>0</v>
      </c>
      <c r="AP136" s="13"/>
      <c r="AQ136" s="13"/>
      <c r="AR136" s="13"/>
    </row>
    <row r="137" spans="1:44" x14ac:dyDescent="0.15">
      <c r="A137" s="13" t="s">
        <v>28</v>
      </c>
      <c r="B137" s="14">
        <f>H137+M137+R137+W137+AB137+AG137+AL137</f>
        <v>10191.300000000001</v>
      </c>
      <c r="C137" s="14">
        <f>I137+N137+S137+X137+AC137+AH137+AM137</f>
        <v>1859.04</v>
      </c>
      <c r="D137" s="14">
        <f>J137+O137+T137+Y137+AD137+AI137+AN137</f>
        <v>1416.58</v>
      </c>
      <c r="E137" s="14">
        <f>K137+P137+U137+Z137+AE137+AJ137+AO137</f>
        <v>178.5</v>
      </c>
      <c r="F137" s="19">
        <f>F10</f>
        <v>130</v>
      </c>
      <c r="G137" s="13"/>
      <c r="H137" s="14">
        <f>B10*H$127*$K$13</f>
        <v>1477</v>
      </c>
      <c r="I137" s="14">
        <f>C10*I$127*$K$13</f>
        <v>206.56</v>
      </c>
      <c r="J137" s="14">
        <f>D10*J$127*$K$13</f>
        <v>144.76000000000002</v>
      </c>
      <c r="K137" s="14">
        <f>E10*K$127*$K$13</f>
        <v>18.899999999999999</v>
      </c>
      <c r="L137" s="13"/>
      <c r="M137" s="14">
        <f>B10*M$127*$K$13</f>
        <v>1846.25</v>
      </c>
      <c r="N137" s="14">
        <f>C10*N$127*$K$13</f>
        <v>361.48</v>
      </c>
      <c r="O137" s="14">
        <f>D10*O$127*$K$13</f>
        <v>361.9</v>
      </c>
      <c r="P137" s="14">
        <f>E10*P$127*$K$13</f>
        <v>42</v>
      </c>
      <c r="Q137" s="13"/>
      <c r="R137" s="14">
        <f>B10*R$127*$K$13</f>
        <v>3323.25</v>
      </c>
      <c r="S137" s="14">
        <f>C10*S$127*$K$13</f>
        <v>619.67999999999995</v>
      </c>
      <c r="T137" s="14">
        <f>D10*T$127*$K$13</f>
        <v>413.6</v>
      </c>
      <c r="U137" s="14">
        <f>E10*U$127*$K$13</f>
        <v>54.6</v>
      </c>
      <c r="V137" s="13"/>
      <c r="W137" s="14">
        <f>B10*W$127*$K$13</f>
        <v>1181.6000000000001</v>
      </c>
      <c r="X137" s="14">
        <f>C10*X$127*$K$13</f>
        <v>232.38</v>
      </c>
      <c r="Y137" s="14">
        <f>D10*Y$127*$K$13</f>
        <v>206.8</v>
      </c>
      <c r="Z137" s="14">
        <f>E10*Z$127*$K$13</f>
        <v>23.1</v>
      </c>
      <c r="AA137" s="13"/>
      <c r="AB137" s="14">
        <f>B10*AB$127*$K$13</f>
        <v>2363.2000000000003</v>
      </c>
      <c r="AC137" s="14">
        <f>C10*AC$127*$K$13</f>
        <v>438.94000000000005</v>
      </c>
      <c r="AD137" s="14">
        <f>D10*AD$127*$K$13</f>
        <v>289.52000000000004</v>
      </c>
      <c r="AE137" s="14">
        <f>E10*AE$127*$K$13</f>
        <v>39.9</v>
      </c>
      <c r="AF137" s="13"/>
      <c r="AG137" s="14">
        <f>B10*AG$127*$K$13</f>
        <v>0</v>
      </c>
      <c r="AH137" s="14">
        <f>C10*AH$127*$K$13</f>
        <v>0</v>
      </c>
      <c r="AI137" s="14">
        <f>D10*AI$127*$K$13</f>
        <v>0</v>
      </c>
      <c r="AJ137" s="14">
        <f>E10*AJ$127*$K$13</f>
        <v>0</v>
      </c>
      <c r="AK137" s="13"/>
      <c r="AL137" s="14">
        <f>B10*AL$127</f>
        <v>0</v>
      </c>
      <c r="AM137" s="14">
        <f>C10*AM$127</f>
        <v>0</v>
      </c>
      <c r="AN137" s="14">
        <f>D10*AN$127</f>
        <v>0</v>
      </c>
      <c r="AO137" s="14">
        <f>E10*AO$127</f>
        <v>0</v>
      </c>
      <c r="AP137" s="13"/>
      <c r="AQ137" s="13"/>
      <c r="AR137" s="13"/>
    </row>
    <row r="138" spans="1:44" x14ac:dyDescent="0.15">
      <c r="A138" s="13" t="s">
        <v>30</v>
      </c>
      <c r="B138" s="14">
        <f>H138+M138+R138+W138+AB138+AG138+AL138</f>
        <v>9839.4</v>
      </c>
      <c r="C138" s="14">
        <f>I138+N138+S138+X138+AC138+AH138+AM138</f>
        <v>1576.8</v>
      </c>
      <c r="D138" s="14">
        <f>J138+O138+T138+Y138+AD138+AI138+AN138</f>
        <v>1104.22</v>
      </c>
      <c r="E138" s="14">
        <f>K138+P138+U138+Z138+AE138+AJ138+AO138</f>
        <v>158.1</v>
      </c>
      <c r="F138" s="19">
        <f>F11</f>
        <v>121</v>
      </c>
      <c r="G138" s="13"/>
      <c r="H138" s="14">
        <f>B11*H$127*$K$13</f>
        <v>1426</v>
      </c>
      <c r="I138" s="14">
        <f>C11*I$127*$K$13</f>
        <v>175.20000000000002</v>
      </c>
      <c r="J138" s="14">
        <f>D11*J$127*$K$13</f>
        <v>112.84000000000002</v>
      </c>
      <c r="K138" s="14">
        <f>E11*K$127*$K$13</f>
        <v>16.739999999999998</v>
      </c>
      <c r="L138" s="13"/>
      <c r="M138" s="14">
        <f>B11*M$127*$K$13</f>
        <v>1782.5</v>
      </c>
      <c r="N138" s="14">
        <f>C11*N$127*$K$13</f>
        <v>306.60000000000002</v>
      </c>
      <c r="O138" s="14">
        <f>D11*O$127*$K$13</f>
        <v>282.09999999999997</v>
      </c>
      <c r="P138" s="14">
        <f>E11*P$127*$K$13</f>
        <v>37.200000000000003</v>
      </c>
      <c r="Q138" s="13"/>
      <c r="R138" s="14">
        <f>B11*R$127*$K$13</f>
        <v>3208.5</v>
      </c>
      <c r="S138" s="14">
        <f>C11*S$127*$K$13</f>
        <v>525.6</v>
      </c>
      <c r="T138" s="14">
        <f>D11*T$127*$K$13</f>
        <v>322.40000000000003</v>
      </c>
      <c r="U138" s="14">
        <f>E11*U$127*$K$13</f>
        <v>48.36</v>
      </c>
      <c r="V138" s="13"/>
      <c r="W138" s="14">
        <f>B11*W$127*$K$13</f>
        <v>1140.8</v>
      </c>
      <c r="X138" s="14">
        <f>C11*X$127*$K$13</f>
        <v>197.1</v>
      </c>
      <c r="Y138" s="14">
        <f>D11*Y$127*$K$13</f>
        <v>161.20000000000002</v>
      </c>
      <c r="Z138" s="14">
        <f>E11*Z$127*$K$13</f>
        <v>20.46</v>
      </c>
      <c r="AA138" s="13"/>
      <c r="AB138" s="14">
        <f>B11*AB$127*$K$13</f>
        <v>2281.6</v>
      </c>
      <c r="AC138" s="14">
        <f>C11*AC$127*$K$13</f>
        <v>372.3</v>
      </c>
      <c r="AD138" s="14">
        <f>D11*AD$127*$K$13</f>
        <v>225.68000000000004</v>
      </c>
      <c r="AE138" s="14">
        <f>E11*AE$127*$K$13</f>
        <v>35.340000000000003</v>
      </c>
      <c r="AF138" s="13"/>
      <c r="AG138" s="14">
        <f>B11*AG$127*$K$13</f>
        <v>0</v>
      </c>
      <c r="AH138" s="14">
        <f>C11*AH$127*$K$13</f>
        <v>0</v>
      </c>
      <c r="AI138" s="14">
        <f>D11*AI$127*$K$13</f>
        <v>0</v>
      </c>
      <c r="AJ138" s="14">
        <f>E11*AJ$127*$K$13</f>
        <v>0</v>
      </c>
      <c r="AK138" s="13"/>
      <c r="AL138" s="14">
        <f>B11*AL$127</f>
        <v>0</v>
      </c>
      <c r="AM138" s="14">
        <f>C11*AM$127</f>
        <v>0</v>
      </c>
      <c r="AN138" s="14">
        <f>D11*AN$127</f>
        <v>0</v>
      </c>
      <c r="AO138" s="14">
        <f>E11*AO$127</f>
        <v>0</v>
      </c>
      <c r="AP138" s="13"/>
      <c r="AQ138" s="13"/>
      <c r="AR138" s="13"/>
    </row>
    <row r="139" spans="1:44" x14ac:dyDescent="0.15">
      <c r="A139" s="13"/>
      <c r="B139" s="13"/>
      <c r="C139" s="13"/>
      <c r="D139" s="13"/>
      <c r="E139" s="13"/>
      <c r="F139" s="13"/>
      <c r="G139" s="13"/>
      <c r="H139" s="23">
        <v>0.18</v>
      </c>
      <c r="I139" s="23">
        <v>0.15</v>
      </c>
      <c r="J139" s="23">
        <v>0.12</v>
      </c>
      <c r="K139" s="23">
        <v>0.16</v>
      </c>
      <c r="L139" s="13"/>
      <c r="M139" s="25">
        <v>0.22</v>
      </c>
      <c r="N139" s="25">
        <v>0.24</v>
      </c>
      <c r="O139" s="25">
        <v>0.32</v>
      </c>
      <c r="P139" s="25">
        <v>0.35</v>
      </c>
      <c r="Q139" s="13"/>
      <c r="R139" s="27">
        <v>0.38</v>
      </c>
      <c r="S139" s="27">
        <v>0.4</v>
      </c>
      <c r="T139" s="27">
        <v>0.34</v>
      </c>
      <c r="U139" s="27">
        <v>0.44</v>
      </c>
      <c r="V139" s="13"/>
      <c r="W139" s="25">
        <v>0.14000000000000001</v>
      </c>
      <c r="X139" s="25">
        <v>0.15</v>
      </c>
      <c r="Y139" s="25">
        <v>0.18</v>
      </c>
      <c r="Z139" s="25">
        <v>0.2</v>
      </c>
      <c r="AA139" s="13"/>
      <c r="AB139" s="27">
        <v>0.24</v>
      </c>
      <c r="AC139" s="27">
        <v>0.26</v>
      </c>
      <c r="AD139" s="27">
        <v>0.2</v>
      </c>
      <c r="AE139" s="27">
        <v>0.28000000000000003</v>
      </c>
      <c r="AF139" s="13"/>
      <c r="AG139" s="29">
        <v>0.14000000000000001</v>
      </c>
      <c r="AH139" s="29">
        <v>0.1</v>
      </c>
      <c r="AI139" s="29">
        <v>0.08</v>
      </c>
      <c r="AJ139" s="29">
        <v>0.1</v>
      </c>
      <c r="AK139" s="13"/>
      <c r="AL139" s="31">
        <v>1</v>
      </c>
      <c r="AM139" s="31">
        <v>1</v>
      </c>
      <c r="AN139" s="31">
        <v>1</v>
      </c>
      <c r="AO139" s="31">
        <v>1</v>
      </c>
      <c r="AP139" s="13"/>
      <c r="AQ139" s="33" t="s">
        <v>121</v>
      </c>
      <c r="AR139" s="33"/>
    </row>
    <row r="140" spans="1:44" ht="14" x14ac:dyDescent="0.15">
      <c r="A140" s="36" t="s">
        <v>120</v>
      </c>
      <c r="B140" s="36"/>
      <c r="C140" s="36"/>
      <c r="D140" s="36"/>
      <c r="E140" s="36"/>
      <c r="F140" s="36"/>
      <c r="G140" s="13"/>
      <c r="H140" s="24" t="s">
        <v>82</v>
      </c>
      <c r="I140" s="24"/>
      <c r="J140" s="24"/>
      <c r="K140" s="24"/>
      <c r="L140" s="13"/>
      <c r="M140" s="26" t="s">
        <v>83</v>
      </c>
      <c r="N140" s="26"/>
      <c r="O140" s="26"/>
      <c r="P140" s="26"/>
      <c r="Q140" s="13"/>
      <c r="R140" s="28" t="s">
        <v>84</v>
      </c>
      <c r="S140" s="28"/>
      <c r="T140" s="28"/>
      <c r="U140" s="28"/>
      <c r="V140" s="13"/>
      <c r="W140" s="26" t="s">
        <v>85</v>
      </c>
      <c r="X140" s="26"/>
      <c r="Y140" s="26"/>
      <c r="Z140" s="26"/>
      <c r="AA140" s="13"/>
      <c r="AB140" s="28" t="s">
        <v>86</v>
      </c>
      <c r="AC140" s="28"/>
      <c r="AD140" s="28"/>
      <c r="AE140" s="28"/>
      <c r="AF140" s="13"/>
      <c r="AG140" s="30" t="s">
        <v>87</v>
      </c>
      <c r="AH140" s="30"/>
      <c r="AI140" s="30"/>
      <c r="AJ140" s="30"/>
      <c r="AK140" s="13"/>
      <c r="AL140" s="32" t="s">
        <v>119</v>
      </c>
      <c r="AM140" s="32"/>
      <c r="AN140" s="32"/>
      <c r="AO140" s="32"/>
      <c r="AP140" s="13"/>
      <c r="AQ140" s="13" t="s">
        <v>36</v>
      </c>
      <c r="AR140" s="34">
        <v>25</v>
      </c>
    </row>
    <row r="141" spans="1:44" x14ac:dyDescent="0.15">
      <c r="A141" s="17" t="s">
        <v>2</v>
      </c>
      <c r="B141" s="17" t="s">
        <v>3</v>
      </c>
      <c r="C141" s="17" t="s">
        <v>4</v>
      </c>
      <c r="D141" s="17" t="s">
        <v>5</v>
      </c>
      <c r="E141" s="17" t="s">
        <v>6</v>
      </c>
      <c r="F141" s="17" t="s">
        <v>7</v>
      </c>
      <c r="G141" s="13"/>
      <c r="H141" s="17" t="s">
        <v>3</v>
      </c>
      <c r="I141" s="17" t="s">
        <v>4</v>
      </c>
      <c r="J141" s="17" t="s">
        <v>5</v>
      </c>
      <c r="K141" s="17" t="s">
        <v>6</v>
      </c>
      <c r="L141" s="13"/>
      <c r="M141" s="17" t="s">
        <v>3</v>
      </c>
      <c r="N141" s="17" t="s">
        <v>4</v>
      </c>
      <c r="O141" s="17" t="s">
        <v>5</v>
      </c>
      <c r="P141" s="17" t="s">
        <v>6</v>
      </c>
      <c r="Q141" s="13"/>
      <c r="R141" s="17" t="s">
        <v>3</v>
      </c>
      <c r="S141" s="17" t="s">
        <v>4</v>
      </c>
      <c r="T141" s="17" t="s">
        <v>5</v>
      </c>
      <c r="U141" s="17" t="s">
        <v>6</v>
      </c>
      <c r="V141" s="13"/>
      <c r="W141" s="17" t="s">
        <v>3</v>
      </c>
      <c r="X141" s="17" t="s">
        <v>4</v>
      </c>
      <c r="Y141" s="17" t="s">
        <v>5</v>
      </c>
      <c r="Z141" s="17" t="s">
        <v>6</v>
      </c>
      <c r="AA141" s="13"/>
      <c r="AB141" s="17" t="s">
        <v>3</v>
      </c>
      <c r="AC141" s="17" t="s">
        <v>4</v>
      </c>
      <c r="AD141" s="17" t="s">
        <v>5</v>
      </c>
      <c r="AE141" s="17" t="s">
        <v>6</v>
      </c>
      <c r="AF141" s="13"/>
      <c r="AG141" s="17" t="s">
        <v>3</v>
      </c>
      <c r="AH141" s="17" t="s">
        <v>4</v>
      </c>
      <c r="AI141" s="17" t="s">
        <v>5</v>
      </c>
      <c r="AJ141" s="17" t="s">
        <v>6</v>
      </c>
      <c r="AK141" s="13"/>
      <c r="AL141" s="17" t="s">
        <v>3</v>
      </c>
      <c r="AM141" s="17" t="s">
        <v>4</v>
      </c>
      <c r="AN141" s="17" t="s">
        <v>5</v>
      </c>
      <c r="AO141" s="17" t="s">
        <v>6</v>
      </c>
      <c r="AP141" s="13"/>
      <c r="AQ141" s="13" t="s">
        <v>91</v>
      </c>
      <c r="AR141" s="34">
        <v>25</v>
      </c>
    </row>
    <row r="142" spans="1:44" x14ac:dyDescent="0.15">
      <c r="A142" s="13" t="s">
        <v>14</v>
      </c>
      <c r="B142" s="14">
        <f>H142+M142+R142+W142+AB142+AG142+AL142</f>
        <v>12939.800000000001</v>
      </c>
      <c r="C142" s="14">
        <f>I142+N142+S142+X142+AC142+AH142+AM142</f>
        <v>899.3</v>
      </c>
      <c r="D142" s="14">
        <f>J142+O142+T142+Y142+AD142+AI142+AN142</f>
        <v>224</v>
      </c>
      <c r="E142" s="14">
        <f>K142+P142+U142+Z142+AE142+AJ142+AO142</f>
        <v>78.430000000000007</v>
      </c>
      <c r="F142" s="19">
        <f>F3</f>
        <v>85</v>
      </c>
      <c r="G142" s="13"/>
      <c r="H142" s="14">
        <f>B3*H$139*$K$14</f>
        <v>1012.68</v>
      </c>
      <c r="I142" s="14">
        <f>C3*I$139*$K$14</f>
        <v>58.65</v>
      </c>
      <c r="J142" s="14">
        <f>D3*J$139*$K$14</f>
        <v>12</v>
      </c>
      <c r="K142" s="14">
        <f>E3*K$139*$K$14</f>
        <v>4.96</v>
      </c>
      <c r="L142" s="13"/>
      <c r="M142" s="14">
        <f>B3*M$139*$K$14</f>
        <v>1237.72</v>
      </c>
      <c r="N142" s="14">
        <f>C3*N$139*$K$14</f>
        <v>93.84</v>
      </c>
      <c r="O142" s="14">
        <f>D3*O$139*$K$14</f>
        <v>32</v>
      </c>
      <c r="P142" s="14">
        <f>E3*P$139*$K$14</f>
        <v>10.85</v>
      </c>
      <c r="Q142" s="13"/>
      <c r="R142" s="14">
        <f>B3*R$139*$K$14</f>
        <v>2137.88</v>
      </c>
      <c r="S142" s="14">
        <f>C3*S$139*$K$14</f>
        <v>156.4</v>
      </c>
      <c r="T142" s="14">
        <f>D3*T$139*$K$14</f>
        <v>34</v>
      </c>
      <c r="U142" s="14">
        <f>E3*U$139*$K$14</f>
        <v>13.64</v>
      </c>
      <c r="V142" s="13"/>
      <c r="W142" s="14">
        <f>B3*W$139*$K$14</f>
        <v>787.6400000000001</v>
      </c>
      <c r="X142" s="14">
        <f>C3*X$139*$K$14</f>
        <v>58.65</v>
      </c>
      <c r="Y142" s="14">
        <f>D3*Y$139*$K$14</f>
        <v>18</v>
      </c>
      <c r="Z142" s="14">
        <f>E3*Z$139*$K$14</f>
        <v>6.2</v>
      </c>
      <c r="AA142" s="13"/>
      <c r="AB142" s="14">
        <f>B3*AB$139*$K$14</f>
        <v>1350.24</v>
      </c>
      <c r="AC142" s="14">
        <f>C3*AC$139*$K$14</f>
        <v>101.66</v>
      </c>
      <c r="AD142" s="14">
        <f>D3*AD$139*$K$14</f>
        <v>20</v>
      </c>
      <c r="AE142" s="14">
        <f>E3*AE$139*$K$14</f>
        <v>8.6800000000000015</v>
      </c>
      <c r="AF142" s="13"/>
      <c r="AG142" s="14">
        <f>B3*AG$139*$K$14</f>
        <v>787.6400000000001</v>
      </c>
      <c r="AH142" s="14">
        <f>C3*AH$139*$K$14</f>
        <v>39.1</v>
      </c>
      <c r="AI142" s="14">
        <f>D3*AI$139*$K$14</f>
        <v>8</v>
      </c>
      <c r="AJ142" s="14">
        <f>E3*AJ$139*$K$14</f>
        <v>3.1</v>
      </c>
      <c r="AK142" s="13"/>
      <c r="AL142" s="14">
        <f>B3*AL$139</f>
        <v>5626</v>
      </c>
      <c r="AM142" s="14">
        <f>C3*AM$139</f>
        <v>391</v>
      </c>
      <c r="AN142" s="14">
        <f>D3*AN$139</f>
        <v>100</v>
      </c>
      <c r="AO142" s="14">
        <f>E3*AO$139</f>
        <v>31</v>
      </c>
      <c r="AP142" s="13"/>
      <c r="AQ142" s="13" t="s">
        <v>92</v>
      </c>
      <c r="AR142" s="34">
        <v>55</v>
      </c>
    </row>
    <row r="143" spans="1:44" x14ac:dyDescent="0.15">
      <c r="A143" s="13" t="s">
        <v>15</v>
      </c>
      <c r="B143" s="14">
        <f>H143+M143+R143+W143+AB143+AG143+AL143</f>
        <v>12620.100000000002</v>
      </c>
      <c r="C143" s="14">
        <f>I143+N143+S143+X143+AC143+AH143+AM143</f>
        <v>837.2</v>
      </c>
      <c r="D143" s="14">
        <f>J143+O143+T143+Y143+AD143+AI143+AN143</f>
        <v>313.60000000000002</v>
      </c>
      <c r="E143" s="14">
        <f>K143+P143+U143+Z143+AE143+AJ143+AO143</f>
        <v>75.900000000000006</v>
      </c>
      <c r="F143" s="19">
        <f>F4</f>
        <v>81</v>
      </c>
      <c r="G143" s="13"/>
      <c r="H143" s="14">
        <f>B4*H$139*$K$14</f>
        <v>987.66</v>
      </c>
      <c r="I143" s="14">
        <f>C4*I$139*$K$14</f>
        <v>54.6</v>
      </c>
      <c r="J143" s="14">
        <f>D4*J$139*$K$14</f>
        <v>16.8</v>
      </c>
      <c r="K143" s="14">
        <f>E4*K$139*$K$14</f>
        <v>4.8</v>
      </c>
      <c r="L143" s="13"/>
      <c r="M143" s="14">
        <f>B4*M$139*$K$14</f>
        <v>1207.1400000000001</v>
      </c>
      <c r="N143" s="14">
        <f>C4*N$139*$K$14</f>
        <v>87.36</v>
      </c>
      <c r="O143" s="14">
        <f>D4*O$139*$K$14</f>
        <v>44.800000000000004</v>
      </c>
      <c r="P143" s="14">
        <f>E4*P$139*$K$14</f>
        <v>10.5</v>
      </c>
      <c r="Q143" s="13"/>
      <c r="R143" s="14">
        <f>B4*R$139*$K$14</f>
        <v>2085.06</v>
      </c>
      <c r="S143" s="14">
        <f>C4*S$139*$K$14</f>
        <v>145.6</v>
      </c>
      <c r="T143" s="14">
        <f>D4*T$139*$K$14</f>
        <v>47.6</v>
      </c>
      <c r="U143" s="14">
        <f>E4*U$139*$K$14</f>
        <v>13.2</v>
      </c>
      <c r="V143" s="13"/>
      <c r="W143" s="14">
        <f>B4*W$139*$K$14</f>
        <v>768.18000000000006</v>
      </c>
      <c r="X143" s="14">
        <f>C4*X$139*$K$14</f>
        <v>54.6</v>
      </c>
      <c r="Y143" s="14">
        <f>D4*Y$139*$K$14</f>
        <v>25.2</v>
      </c>
      <c r="Z143" s="14">
        <f>E4*Z$139*$K$14</f>
        <v>6</v>
      </c>
      <c r="AA143" s="13"/>
      <c r="AB143" s="14">
        <f>B4*AB$139*$K$14</f>
        <v>1316.8799999999999</v>
      </c>
      <c r="AC143" s="14">
        <f>C4*AC$139*$K$14</f>
        <v>94.64</v>
      </c>
      <c r="AD143" s="14">
        <f>D4*AD$139*$K$14</f>
        <v>28</v>
      </c>
      <c r="AE143" s="14">
        <f>E4*AE$139*$K$14</f>
        <v>8.4</v>
      </c>
      <c r="AF143" s="13"/>
      <c r="AG143" s="14">
        <f>B4*AG$139*$K$14</f>
        <v>768.18000000000006</v>
      </c>
      <c r="AH143" s="14">
        <f>C4*AH$139*$K$14</f>
        <v>36.4</v>
      </c>
      <c r="AI143" s="14">
        <f>D4*AI$139*$K$14</f>
        <v>11.200000000000001</v>
      </c>
      <c r="AJ143" s="14">
        <f>E4*AJ$139*$K$14</f>
        <v>3</v>
      </c>
      <c r="AK143" s="13"/>
      <c r="AL143" s="14">
        <f>B4*AL$139</f>
        <v>5487</v>
      </c>
      <c r="AM143" s="14">
        <f>C4*AM$139</f>
        <v>364</v>
      </c>
      <c r="AN143" s="14">
        <f>D4*AN$139</f>
        <v>140</v>
      </c>
      <c r="AO143" s="14">
        <f>E4*AO$139</f>
        <v>30</v>
      </c>
      <c r="AP143" s="13"/>
      <c r="AQ143" s="13" t="s">
        <v>93</v>
      </c>
      <c r="AR143" s="34">
        <v>20</v>
      </c>
    </row>
    <row r="144" spans="1:44" x14ac:dyDescent="0.15">
      <c r="A144" s="13" t="s">
        <v>18</v>
      </c>
      <c r="B144" s="14">
        <f>H144+M144+R144+W144+AB144+AG144+AL144</f>
        <v>14510.7</v>
      </c>
      <c r="C144" s="14">
        <f>I144+N144+S144+X144+AC144+AH144+AM144</f>
        <v>1294.9000000000001</v>
      </c>
      <c r="D144" s="14">
        <f>J144+O144+T144+Y144+AD144+AI144+AN144</f>
        <v>636.16</v>
      </c>
      <c r="E144" s="14">
        <f>K144+P144+U144+Z144+AE144+AJ144+AO144</f>
        <v>134.08999999999997</v>
      </c>
      <c r="F144" s="19">
        <f>F5</f>
        <v>103</v>
      </c>
      <c r="G144" s="13"/>
      <c r="H144" s="14">
        <f>B5*H$139*$K$14</f>
        <v>1135.6199999999999</v>
      </c>
      <c r="I144" s="14">
        <f>C5*I$139*$K$14</f>
        <v>84.45</v>
      </c>
      <c r="J144" s="14">
        <f>D5*J$139*$K$14</f>
        <v>34.08</v>
      </c>
      <c r="K144" s="14">
        <f>E5*K$139*$K$14</f>
        <v>8.48</v>
      </c>
      <c r="L144" s="13"/>
      <c r="M144" s="14">
        <f>B5*M$139*$K$14</f>
        <v>1387.98</v>
      </c>
      <c r="N144" s="14">
        <f>C5*N$139*$K$14</f>
        <v>135.12</v>
      </c>
      <c r="O144" s="14">
        <f>D5*O$139*$K$14</f>
        <v>90.88</v>
      </c>
      <c r="P144" s="14">
        <f>E5*P$139*$K$14</f>
        <v>18.549999999999997</v>
      </c>
      <c r="Q144" s="13"/>
      <c r="R144" s="14">
        <f>B5*R$139*$K$14</f>
        <v>2397.42</v>
      </c>
      <c r="S144" s="14">
        <f>C5*S$139*$K$14</f>
        <v>225.20000000000002</v>
      </c>
      <c r="T144" s="14">
        <f>D5*T$139*$K$14</f>
        <v>96.56</v>
      </c>
      <c r="U144" s="14">
        <f>E5*U$139*$K$14</f>
        <v>23.32</v>
      </c>
      <c r="V144" s="13"/>
      <c r="W144" s="14">
        <f>B5*W$139*$K$14</f>
        <v>883.2600000000001</v>
      </c>
      <c r="X144" s="14">
        <f>C5*X$139*$K$14</f>
        <v>84.45</v>
      </c>
      <c r="Y144" s="14">
        <f>D5*Y$139*$K$14</f>
        <v>51.12</v>
      </c>
      <c r="Z144" s="14">
        <f>E5*Z$139*$K$14</f>
        <v>10.600000000000001</v>
      </c>
      <c r="AA144" s="13"/>
      <c r="AB144" s="14">
        <f>B5*AB$139*$K$14</f>
        <v>1514.1599999999999</v>
      </c>
      <c r="AC144" s="14">
        <f>C5*AC$139*$K$14</f>
        <v>146.38</v>
      </c>
      <c r="AD144" s="14">
        <f>D5*AD$139*$K$14</f>
        <v>56.800000000000004</v>
      </c>
      <c r="AE144" s="14">
        <f>E5*AE$139*$K$14</f>
        <v>14.840000000000002</v>
      </c>
      <c r="AF144" s="13"/>
      <c r="AG144" s="14">
        <f>B5*AG$139*$K$14</f>
        <v>883.2600000000001</v>
      </c>
      <c r="AH144" s="14">
        <f>C5*AH$139*$K$14</f>
        <v>56.300000000000004</v>
      </c>
      <c r="AI144" s="14">
        <f>D5*AI$139*$K$14</f>
        <v>22.72</v>
      </c>
      <c r="AJ144" s="14">
        <f>E5*AJ$139*$K$14</f>
        <v>5.3000000000000007</v>
      </c>
      <c r="AK144" s="13"/>
      <c r="AL144" s="14">
        <f>B5*AL$139</f>
        <v>6309</v>
      </c>
      <c r="AM144" s="14">
        <f>C5*AM$139</f>
        <v>563</v>
      </c>
      <c r="AN144" s="14">
        <f>D5*AN$139</f>
        <v>284</v>
      </c>
      <c r="AO144" s="14">
        <f>E5*AO$139</f>
        <v>53</v>
      </c>
      <c r="AP144" s="13"/>
      <c r="AQ144" s="13" t="s">
        <v>94</v>
      </c>
      <c r="AR144" s="34">
        <v>40</v>
      </c>
    </row>
    <row r="145" spans="1:44" x14ac:dyDescent="0.15">
      <c r="A145" s="13" t="s">
        <v>20</v>
      </c>
      <c r="B145" s="14">
        <f>H145+M145+R145+W145+AB145+AG145+AL145</f>
        <v>14717.7</v>
      </c>
      <c r="C145" s="14">
        <f>I145+N145+S145+X145+AC145+AH145+AM145</f>
        <v>1605.4</v>
      </c>
      <c r="D145" s="14">
        <f>J145+O145+T145+Y145+AD145+AI145+AN145</f>
        <v>797.44</v>
      </c>
      <c r="E145" s="14">
        <f>K145+P145+U145+Z145+AE145+AJ145+AO145</f>
        <v>179.63</v>
      </c>
      <c r="F145" s="19">
        <f>F6</f>
        <v>106</v>
      </c>
      <c r="G145" s="13"/>
      <c r="H145" s="14">
        <f>B6*H$139*$K$14</f>
        <v>1151.82</v>
      </c>
      <c r="I145" s="14">
        <f>C6*I$139*$K$14</f>
        <v>104.7</v>
      </c>
      <c r="J145" s="14">
        <f>D6*J$139*$K$14</f>
        <v>42.72</v>
      </c>
      <c r="K145" s="14">
        <f>E6*K$139*$K$14</f>
        <v>11.36</v>
      </c>
      <c r="L145" s="13"/>
      <c r="M145" s="14">
        <f>B6*M$139*$K$14</f>
        <v>1407.78</v>
      </c>
      <c r="N145" s="14">
        <f>C6*N$139*$K$14</f>
        <v>167.51999999999998</v>
      </c>
      <c r="O145" s="14">
        <f>D6*O$139*$K$14</f>
        <v>113.92</v>
      </c>
      <c r="P145" s="14">
        <f>E6*P$139*$K$14</f>
        <v>24.849999999999998</v>
      </c>
      <c r="Q145" s="13"/>
      <c r="R145" s="14">
        <f>B6*R$139*$K$14</f>
        <v>2431.62</v>
      </c>
      <c r="S145" s="14">
        <f>C6*S$139*$K$14</f>
        <v>279.2</v>
      </c>
      <c r="T145" s="14">
        <f>D6*T$139*$K$14</f>
        <v>121.04</v>
      </c>
      <c r="U145" s="14">
        <f>E6*U$139*$K$14</f>
        <v>31.24</v>
      </c>
      <c r="V145" s="13"/>
      <c r="W145" s="14">
        <f>B6*W$139*$K$14</f>
        <v>895.86000000000013</v>
      </c>
      <c r="X145" s="14">
        <f>C6*X$139*$K$14</f>
        <v>104.7</v>
      </c>
      <c r="Y145" s="14">
        <f>D6*Y$139*$K$14</f>
        <v>64.08</v>
      </c>
      <c r="Z145" s="14">
        <f>E6*Z$139*$K$14</f>
        <v>14.200000000000001</v>
      </c>
      <c r="AA145" s="13"/>
      <c r="AB145" s="14">
        <f>B6*AB$139*$K$14</f>
        <v>1535.76</v>
      </c>
      <c r="AC145" s="14">
        <f>C6*AC$139*$K$14</f>
        <v>181.48000000000002</v>
      </c>
      <c r="AD145" s="14">
        <f>D6*AD$139*$K$14</f>
        <v>71.2</v>
      </c>
      <c r="AE145" s="14">
        <f>E6*AE$139*$K$14</f>
        <v>19.880000000000003</v>
      </c>
      <c r="AF145" s="13"/>
      <c r="AG145" s="14">
        <f>B6*AG$139*$K$14</f>
        <v>895.86000000000013</v>
      </c>
      <c r="AH145" s="14">
        <f>C6*AH$139*$K$14</f>
        <v>69.8</v>
      </c>
      <c r="AI145" s="14">
        <f>D6*AI$139*$K$14</f>
        <v>28.48</v>
      </c>
      <c r="AJ145" s="14">
        <f>E6*AJ$139*$K$14</f>
        <v>7.1000000000000005</v>
      </c>
      <c r="AK145" s="13"/>
      <c r="AL145" s="14">
        <f>B6*AL$139</f>
        <v>6399</v>
      </c>
      <c r="AM145" s="14">
        <f>C6*AM$139</f>
        <v>698</v>
      </c>
      <c r="AN145" s="14">
        <f>D6*AN$139</f>
        <v>356</v>
      </c>
      <c r="AO145" s="14">
        <f>E6*AO$139</f>
        <v>71</v>
      </c>
      <c r="AP145" s="13"/>
      <c r="AQ145" s="13" t="s">
        <v>39</v>
      </c>
      <c r="AR145" s="34">
        <v>20</v>
      </c>
    </row>
    <row r="146" spans="1:44" x14ac:dyDescent="0.15">
      <c r="A146" s="13" t="s">
        <v>22</v>
      </c>
      <c r="B146" s="14">
        <f>H146+M146+R146+W146+AB146+AG146+AL146</f>
        <v>14913.2</v>
      </c>
      <c r="C146" s="14">
        <f>I146+N146+S146+X146+AC146+AH146+AM146</f>
        <v>2743.9</v>
      </c>
      <c r="D146" s="14">
        <f>J146+O146+T146+Y146+AD146+AI146+AN146</f>
        <v>1834.56</v>
      </c>
      <c r="E146" s="14">
        <f>K146+P146+U146+Z146+AE146+AJ146+AO146</f>
        <v>258.06</v>
      </c>
      <c r="F146" s="19">
        <f>F7</f>
        <v>106</v>
      </c>
      <c r="G146" s="13"/>
      <c r="H146" s="14">
        <f>B7*H$139*$K$14</f>
        <v>1167.1199999999999</v>
      </c>
      <c r="I146" s="14">
        <f>C7*I$139*$K$14</f>
        <v>178.95</v>
      </c>
      <c r="J146" s="14">
        <f>D7*J$139*$K$14</f>
        <v>98.28</v>
      </c>
      <c r="K146" s="14">
        <f>E7*K$139*$K$14</f>
        <v>16.32</v>
      </c>
      <c r="L146" s="13"/>
      <c r="M146" s="14">
        <f>B7*M$139*$K$14</f>
        <v>1426.48</v>
      </c>
      <c r="N146" s="14">
        <f>C7*N$139*$K$14</f>
        <v>286.32</v>
      </c>
      <c r="O146" s="14">
        <f>D7*O$139*$K$14</f>
        <v>262.08</v>
      </c>
      <c r="P146" s="14">
        <f>E7*P$139*$K$14</f>
        <v>35.699999999999996</v>
      </c>
      <c r="Q146" s="13"/>
      <c r="R146" s="14">
        <f>B7*R$139*$K$14</f>
        <v>2463.92</v>
      </c>
      <c r="S146" s="14">
        <f>C7*S$139*$K$14</f>
        <v>477.20000000000005</v>
      </c>
      <c r="T146" s="14">
        <f>D7*T$139*$K$14</f>
        <v>278.46000000000004</v>
      </c>
      <c r="U146" s="14">
        <f>E7*U$139*$K$14</f>
        <v>44.88</v>
      </c>
      <c r="V146" s="13"/>
      <c r="W146" s="14">
        <f>B7*W$139*$K$14</f>
        <v>907.7600000000001</v>
      </c>
      <c r="X146" s="14">
        <f>C7*X$139*$K$14</f>
        <v>178.95</v>
      </c>
      <c r="Y146" s="14">
        <f>D7*Y$139*$K$14</f>
        <v>147.41999999999999</v>
      </c>
      <c r="Z146" s="14">
        <f>E7*Z$139*$K$14</f>
        <v>20.400000000000002</v>
      </c>
      <c r="AA146" s="13"/>
      <c r="AB146" s="14">
        <f>B7*AB$139*$K$14</f>
        <v>1556.1599999999999</v>
      </c>
      <c r="AC146" s="14">
        <f>C7*AC$139*$K$14</f>
        <v>310.18</v>
      </c>
      <c r="AD146" s="14">
        <f>D7*AD$139*$K$14</f>
        <v>163.80000000000001</v>
      </c>
      <c r="AE146" s="14">
        <f>E7*AE$139*$K$14</f>
        <v>28.560000000000002</v>
      </c>
      <c r="AF146" s="13"/>
      <c r="AG146" s="14">
        <f>B7*AG$139*$K$14</f>
        <v>907.7600000000001</v>
      </c>
      <c r="AH146" s="14">
        <f>C7*AH$139*$K$14</f>
        <v>119.30000000000001</v>
      </c>
      <c r="AI146" s="14">
        <f>D7*AI$139*$K$14</f>
        <v>65.52</v>
      </c>
      <c r="AJ146" s="14">
        <f>E7*AJ$139*$K$14</f>
        <v>10.200000000000001</v>
      </c>
      <c r="AK146" s="13"/>
      <c r="AL146" s="14">
        <f>B7*AL$139</f>
        <v>6484</v>
      </c>
      <c r="AM146" s="14">
        <f>C7*AM$139</f>
        <v>1193</v>
      </c>
      <c r="AN146" s="14">
        <f>D7*AN$139</f>
        <v>819</v>
      </c>
      <c r="AO146" s="14">
        <f>E7*AO$139</f>
        <v>102</v>
      </c>
      <c r="AP146" s="13"/>
      <c r="AQ146" s="13" t="s">
        <v>45</v>
      </c>
      <c r="AR146" s="34">
        <v>80</v>
      </c>
    </row>
    <row r="147" spans="1:44" x14ac:dyDescent="0.15">
      <c r="A147" s="13" t="s">
        <v>24</v>
      </c>
      <c r="B147" s="14">
        <f>H147+M147+R147+W147+AB147+AG147+AL147</f>
        <v>13928.800000000001</v>
      </c>
      <c r="C147" s="14">
        <f>I147+N147+S147+X147+AC147+AH147+AM147</f>
        <v>1520.3000000000002</v>
      </c>
      <c r="D147" s="14">
        <f>J147+O147+T147+Y147+AD147+AI147+AN147</f>
        <v>602.55999999999995</v>
      </c>
      <c r="E147" s="14">
        <f>K147+P147+U147+Z147+AE147+AJ147+AO147</f>
        <v>220.11</v>
      </c>
      <c r="F147" s="19">
        <f>F8</f>
        <v>95</v>
      </c>
      <c r="G147" s="13"/>
      <c r="H147" s="14">
        <f>B8*H$139*$K$14</f>
        <v>1090.08</v>
      </c>
      <c r="I147" s="14">
        <f>C8*I$139*$K$14</f>
        <v>99.149999999999991</v>
      </c>
      <c r="J147" s="14">
        <f>D8*J$139*$K$14</f>
        <v>32.28</v>
      </c>
      <c r="K147" s="14">
        <f>E8*K$139*$K$14</f>
        <v>13.92</v>
      </c>
      <c r="L147" s="13"/>
      <c r="M147" s="14">
        <f>B8*M$139*$K$14</f>
        <v>1332.32</v>
      </c>
      <c r="N147" s="14">
        <f>C8*N$139*$K$14</f>
        <v>158.63999999999999</v>
      </c>
      <c r="O147" s="14">
        <f>D8*O$139*$K$14</f>
        <v>86.08</v>
      </c>
      <c r="P147" s="14">
        <f>E8*P$139*$K$14</f>
        <v>30.45</v>
      </c>
      <c r="Q147" s="13"/>
      <c r="R147" s="14">
        <f>B8*R$139*$K$14</f>
        <v>2301.2800000000002</v>
      </c>
      <c r="S147" s="14">
        <f>C8*S$139*$K$14</f>
        <v>264.40000000000003</v>
      </c>
      <c r="T147" s="14">
        <f>D8*T$139*$K$14</f>
        <v>91.460000000000008</v>
      </c>
      <c r="U147" s="14">
        <f>E8*U$139*$K$14</f>
        <v>38.28</v>
      </c>
      <c r="V147" s="13"/>
      <c r="W147" s="14">
        <f>B8*W$139*$K$14</f>
        <v>847.84</v>
      </c>
      <c r="X147" s="14">
        <f>C8*X$139*$K$14</f>
        <v>99.149999999999991</v>
      </c>
      <c r="Y147" s="14">
        <f>D8*Y$139*$K$14</f>
        <v>48.42</v>
      </c>
      <c r="Z147" s="14">
        <f>E8*Z$139*$K$14</f>
        <v>17.400000000000002</v>
      </c>
      <c r="AA147" s="13"/>
      <c r="AB147" s="14">
        <f>B8*AB$139*$K$14</f>
        <v>1453.44</v>
      </c>
      <c r="AC147" s="14">
        <f>C8*AC$139*$K$14</f>
        <v>171.86</v>
      </c>
      <c r="AD147" s="14">
        <f>D8*AD$139*$K$14</f>
        <v>53.800000000000004</v>
      </c>
      <c r="AE147" s="14">
        <f>E8*AE$139*$K$14</f>
        <v>24.360000000000003</v>
      </c>
      <c r="AF147" s="13"/>
      <c r="AG147" s="14">
        <f>B8*AG$139*$K$14</f>
        <v>847.84</v>
      </c>
      <c r="AH147" s="14">
        <f>C8*AH$139*$K$14</f>
        <v>66.100000000000009</v>
      </c>
      <c r="AI147" s="14">
        <f>D8*AI$139*$K$14</f>
        <v>21.52</v>
      </c>
      <c r="AJ147" s="14">
        <f>E8*AJ$139*$K$14</f>
        <v>8.7000000000000011</v>
      </c>
      <c r="AK147" s="13"/>
      <c r="AL147" s="14">
        <f>B8*AL$139</f>
        <v>6056</v>
      </c>
      <c r="AM147" s="14">
        <f>C8*AM$139</f>
        <v>661</v>
      </c>
      <c r="AN147" s="14">
        <f>D8*AN$139</f>
        <v>269</v>
      </c>
      <c r="AO147" s="14">
        <f>E8*AO$139</f>
        <v>87</v>
      </c>
      <c r="AP147" s="13"/>
      <c r="AQ147" s="15" t="s">
        <v>95</v>
      </c>
      <c r="AR147" s="35">
        <f>SUM(AR140:AR146)</f>
        <v>265</v>
      </c>
    </row>
    <row r="148" spans="1:44" x14ac:dyDescent="0.15">
      <c r="A148" s="13" t="s">
        <v>26</v>
      </c>
      <c r="B148" s="14">
        <f>H148+M148+R148+W148+AB148+AG148+AL148</f>
        <v>15541.1</v>
      </c>
      <c r="C148" s="14">
        <f>I148+N148+S148+X148+AC148+AH148+AM148</f>
        <v>2472.5</v>
      </c>
      <c r="D148" s="14">
        <f>J148+O148+T148+Y148+AD148+AI148+AN148</f>
        <v>1641.92</v>
      </c>
      <c r="E148" s="14">
        <f>K148+P148+U148+Z148+AE148+AJ148+AO148</f>
        <v>285.89</v>
      </c>
      <c r="F148" s="19">
        <f>F9</f>
        <v>112</v>
      </c>
      <c r="G148" s="13"/>
      <c r="H148" s="14">
        <f>B9*H$139*$K$14</f>
        <v>1216.26</v>
      </c>
      <c r="I148" s="14">
        <f>C9*I$139*$K$14</f>
        <v>161.25</v>
      </c>
      <c r="J148" s="14">
        <f>D9*J$139*$K$14</f>
        <v>87.96</v>
      </c>
      <c r="K148" s="14">
        <f>E9*K$139*$K$14</f>
        <v>18.080000000000002</v>
      </c>
      <c r="L148" s="13"/>
      <c r="M148" s="14">
        <f>B9*M$139*$K$14</f>
        <v>1486.54</v>
      </c>
      <c r="N148" s="14">
        <f>C9*N$139*$K$14</f>
        <v>258</v>
      </c>
      <c r="O148" s="14">
        <f>D9*O$139*$K$14</f>
        <v>234.56</v>
      </c>
      <c r="P148" s="14">
        <f>E9*P$139*$K$14</f>
        <v>39.549999999999997</v>
      </c>
      <c r="Q148" s="13"/>
      <c r="R148" s="14">
        <f>B9*R$139*$K$14</f>
        <v>2567.66</v>
      </c>
      <c r="S148" s="14">
        <f>C9*S$139*$K$14</f>
        <v>430</v>
      </c>
      <c r="T148" s="14">
        <f>D9*T$139*$K$14</f>
        <v>249.22000000000003</v>
      </c>
      <c r="U148" s="14">
        <f>E9*U$139*$K$14</f>
        <v>49.72</v>
      </c>
      <c r="V148" s="13"/>
      <c r="W148" s="14">
        <f>B9*W$139*$K$14</f>
        <v>945.98000000000013</v>
      </c>
      <c r="X148" s="14">
        <f>C9*X$139*$K$14</f>
        <v>161.25</v>
      </c>
      <c r="Y148" s="14">
        <f>D9*Y$139*$K$14</f>
        <v>131.94</v>
      </c>
      <c r="Z148" s="14">
        <f>E9*Z$139*$K$14</f>
        <v>22.6</v>
      </c>
      <c r="AA148" s="13"/>
      <c r="AB148" s="14">
        <f>B9*AB$139*$K$14</f>
        <v>1621.6799999999998</v>
      </c>
      <c r="AC148" s="14">
        <f>C9*AC$139*$K$14</f>
        <v>279.5</v>
      </c>
      <c r="AD148" s="14">
        <f>D9*AD$139*$K$14</f>
        <v>146.6</v>
      </c>
      <c r="AE148" s="14">
        <f>E9*AE$139*$K$14</f>
        <v>31.640000000000004</v>
      </c>
      <c r="AF148" s="13"/>
      <c r="AG148" s="14">
        <f>B9*AG$139*$K$14</f>
        <v>945.98000000000013</v>
      </c>
      <c r="AH148" s="14">
        <f>C9*AH$139*$K$14</f>
        <v>107.5</v>
      </c>
      <c r="AI148" s="14">
        <f>D9*AI$139*$K$14</f>
        <v>58.64</v>
      </c>
      <c r="AJ148" s="14">
        <f>E9*AJ$139*$K$14</f>
        <v>11.3</v>
      </c>
      <c r="AK148" s="13"/>
      <c r="AL148" s="14">
        <f>B9*AL$139</f>
        <v>6757</v>
      </c>
      <c r="AM148" s="14">
        <f>C9*AM$139</f>
        <v>1075</v>
      </c>
      <c r="AN148" s="14">
        <f>D9*AN$139</f>
        <v>733</v>
      </c>
      <c r="AO148" s="14">
        <f>E9*AO$139</f>
        <v>113</v>
      </c>
      <c r="AP148" s="13"/>
      <c r="AQ148" s="13"/>
      <c r="AR148" s="13"/>
    </row>
    <row r="149" spans="1:44" x14ac:dyDescent="0.15">
      <c r="A149" s="13" t="s">
        <v>28</v>
      </c>
      <c r="B149" s="14">
        <f>H149+M149+R149+W149+AB149+AG149+AL149</f>
        <v>16985.5</v>
      </c>
      <c r="C149" s="14">
        <f>I149+N149+S149+X149+AC149+AH149+AM149</f>
        <v>2969.3</v>
      </c>
      <c r="D149" s="14">
        <f>J149+O149+T149+Y149+AD149+AI149+AN149</f>
        <v>2316.16</v>
      </c>
      <c r="E149" s="14">
        <f>K149+P149+U149+Z149+AE149+AJ149+AO149</f>
        <v>265.64999999999998</v>
      </c>
      <c r="F149" s="19">
        <f>F10</f>
        <v>130</v>
      </c>
      <c r="G149" s="13"/>
      <c r="H149" s="14">
        <f>B10*H$139*$K$14</f>
        <v>1329.3</v>
      </c>
      <c r="I149" s="14">
        <f>C10*I$139*$K$14</f>
        <v>193.65</v>
      </c>
      <c r="J149" s="14">
        <f>D10*J$139*$K$14</f>
        <v>124.08</v>
      </c>
      <c r="K149" s="14">
        <f>E10*K$139*$K$14</f>
        <v>16.8</v>
      </c>
      <c r="L149" s="13"/>
      <c r="M149" s="14">
        <f>B10*M$139*$K$14</f>
        <v>1624.7</v>
      </c>
      <c r="N149" s="14">
        <f>C10*N$139*$K$14</f>
        <v>309.83999999999997</v>
      </c>
      <c r="O149" s="14">
        <f>D10*O$139*$K$14</f>
        <v>330.88</v>
      </c>
      <c r="P149" s="14">
        <f>E10*P$139*$K$14</f>
        <v>36.75</v>
      </c>
      <c r="Q149" s="13"/>
      <c r="R149" s="14">
        <f>B10*R$139*$K$14</f>
        <v>2806.3</v>
      </c>
      <c r="S149" s="14">
        <f>C10*S$139*$K$14</f>
        <v>516.4</v>
      </c>
      <c r="T149" s="14">
        <f>D10*T$139*$K$14</f>
        <v>351.56</v>
      </c>
      <c r="U149" s="14">
        <f>E10*U$139*$K$14</f>
        <v>46.2</v>
      </c>
      <c r="V149" s="13"/>
      <c r="W149" s="14">
        <f>B10*W$139*$K$14</f>
        <v>1033.9000000000001</v>
      </c>
      <c r="X149" s="14">
        <f>C10*X$139*$K$14</f>
        <v>193.65</v>
      </c>
      <c r="Y149" s="14">
        <f>D10*Y$139*$K$14</f>
        <v>186.12</v>
      </c>
      <c r="Z149" s="14">
        <f>E10*Z$139*$K$14</f>
        <v>21</v>
      </c>
      <c r="AA149" s="13"/>
      <c r="AB149" s="14">
        <f>B10*AB$139*$K$14</f>
        <v>1772.3999999999999</v>
      </c>
      <c r="AC149" s="14">
        <f>C10*AC$139*$K$14</f>
        <v>335.66</v>
      </c>
      <c r="AD149" s="14">
        <f>D10*AD$139*$K$14</f>
        <v>206.8</v>
      </c>
      <c r="AE149" s="14">
        <f>E10*AE$139*$K$14</f>
        <v>29.400000000000002</v>
      </c>
      <c r="AF149" s="13"/>
      <c r="AG149" s="14">
        <f>B10*AG$139*$K$14</f>
        <v>1033.9000000000001</v>
      </c>
      <c r="AH149" s="14">
        <f>C10*AH$139*$K$14</f>
        <v>129.1</v>
      </c>
      <c r="AI149" s="14">
        <f>D10*AI$139*$K$14</f>
        <v>82.72</v>
      </c>
      <c r="AJ149" s="14">
        <f>E10*AJ$139*$K$14</f>
        <v>10.5</v>
      </c>
      <c r="AK149" s="13"/>
      <c r="AL149" s="14">
        <f>B10*AL$139</f>
        <v>7385</v>
      </c>
      <c r="AM149" s="14">
        <f>C10*AM$139</f>
        <v>1291</v>
      </c>
      <c r="AN149" s="14">
        <f>D10*AN$139</f>
        <v>1034</v>
      </c>
      <c r="AO149" s="14">
        <f>E10*AO$139</f>
        <v>105</v>
      </c>
      <c r="AP149" s="13"/>
      <c r="AQ149" s="13"/>
      <c r="AR149" s="13"/>
    </row>
    <row r="150" spans="1:44" x14ac:dyDescent="0.15">
      <c r="A150" s="13" t="s">
        <v>30</v>
      </c>
      <c r="B150" s="14">
        <f>H150+M150+R150+W150+AB150+AG150+AL150</f>
        <v>16399</v>
      </c>
      <c r="C150" s="14">
        <f>I150+N150+S150+X150+AC150+AH150+AM150</f>
        <v>2518.5</v>
      </c>
      <c r="D150" s="14">
        <f>J150+O150+T150+Y150+AD150+AI150+AN150</f>
        <v>1805.44</v>
      </c>
      <c r="E150" s="14">
        <f>K150+P150+U150+Z150+AE150+AJ150+AO150</f>
        <v>235.29</v>
      </c>
      <c r="F150" s="19">
        <f>F11</f>
        <v>121</v>
      </c>
      <c r="G150" s="13"/>
      <c r="H150" s="14">
        <f>B11*H$139*$K$14</f>
        <v>1283.3999999999999</v>
      </c>
      <c r="I150" s="14">
        <f>C11*I$139*$K$14</f>
        <v>164.25</v>
      </c>
      <c r="J150" s="14">
        <f>D11*J$139*$K$14</f>
        <v>96.72</v>
      </c>
      <c r="K150" s="14">
        <f>E11*K$139*$K$14</f>
        <v>14.88</v>
      </c>
      <c r="L150" s="13"/>
      <c r="M150" s="14">
        <f>B11*M$139*$K$14</f>
        <v>1568.6</v>
      </c>
      <c r="N150" s="14">
        <f>C11*N$139*$K$14</f>
        <v>262.8</v>
      </c>
      <c r="O150" s="14">
        <f>D11*O$139*$K$14</f>
        <v>257.92</v>
      </c>
      <c r="P150" s="14">
        <f>E11*P$139*$K$14</f>
        <v>32.549999999999997</v>
      </c>
      <c r="Q150" s="13"/>
      <c r="R150" s="14">
        <f>B11*R$139*$K$14</f>
        <v>2709.4</v>
      </c>
      <c r="S150" s="14">
        <f>C11*S$139*$K$14</f>
        <v>438</v>
      </c>
      <c r="T150" s="14">
        <f>D11*T$139*$K$14</f>
        <v>274.04000000000002</v>
      </c>
      <c r="U150" s="14">
        <f>E11*U$139*$K$14</f>
        <v>40.92</v>
      </c>
      <c r="V150" s="13"/>
      <c r="W150" s="14">
        <f>B11*W$139*$K$14</f>
        <v>998.2</v>
      </c>
      <c r="X150" s="14">
        <f>C11*X$139*$K$14</f>
        <v>164.25</v>
      </c>
      <c r="Y150" s="14">
        <f>D11*Y$139*$K$14</f>
        <v>145.07999999999998</v>
      </c>
      <c r="Z150" s="14">
        <f>E11*Z$139*$K$14</f>
        <v>18.600000000000001</v>
      </c>
      <c r="AA150" s="13"/>
      <c r="AB150" s="14">
        <f>B11*AB$139*$K$14</f>
        <v>1711.2</v>
      </c>
      <c r="AC150" s="14">
        <f>C11*AC$139*$K$14</f>
        <v>284.7</v>
      </c>
      <c r="AD150" s="14">
        <f>D11*AD$139*$K$14</f>
        <v>161.20000000000002</v>
      </c>
      <c r="AE150" s="14">
        <f>E11*AE$139*$K$14</f>
        <v>26.040000000000003</v>
      </c>
      <c r="AF150" s="13"/>
      <c r="AG150" s="14">
        <f>B11*AG$139*$K$14</f>
        <v>998.2</v>
      </c>
      <c r="AH150" s="14">
        <f>C11*AH$139*$K$14</f>
        <v>109.5</v>
      </c>
      <c r="AI150" s="14">
        <f>D11*AI$139*$K$14</f>
        <v>64.48</v>
      </c>
      <c r="AJ150" s="14">
        <f>E11*AJ$139*$K$14</f>
        <v>9.3000000000000007</v>
      </c>
      <c r="AK150" s="13"/>
      <c r="AL150" s="14">
        <f>B11*AL$139</f>
        <v>7130</v>
      </c>
      <c r="AM150" s="14">
        <f>C11*AM$139</f>
        <v>1095</v>
      </c>
      <c r="AN150" s="14">
        <f>D11*AN$139</f>
        <v>806</v>
      </c>
      <c r="AO150" s="14">
        <f>E11*AO$139</f>
        <v>93</v>
      </c>
      <c r="AP150" s="13"/>
      <c r="AQ150" s="13"/>
      <c r="AR150" s="13"/>
    </row>
    <row r="151" spans="1:44" x14ac:dyDescent="0.1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</sheetData>
  <mergeCells count="99">
    <mergeCell ref="AQ139:AR139"/>
    <mergeCell ref="AL128:AO128"/>
    <mergeCell ref="AQ127:AR127"/>
    <mergeCell ref="A140:F140"/>
    <mergeCell ref="H140:K140"/>
    <mergeCell ref="M140:P140"/>
    <mergeCell ref="R140:U140"/>
    <mergeCell ref="W140:Z140"/>
    <mergeCell ref="AB140:AE140"/>
    <mergeCell ref="AG140:AJ140"/>
    <mergeCell ref="AL140:AO140"/>
    <mergeCell ref="AG116:AJ116"/>
    <mergeCell ref="AL116:AO116"/>
    <mergeCell ref="AQ115:AR115"/>
    <mergeCell ref="A128:F128"/>
    <mergeCell ref="H128:K128"/>
    <mergeCell ref="M128:P128"/>
    <mergeCell ref="R128:U128"/>
    <mergeCell ref="W128:Z128"/>
    <mergeCell ref="AB128:AE128"/>
    <mergeCell ref="AG128:AJ128"/>
    <mergeCell ref="A116:F116"/>
    <mergeCell ref="H116:K116"/>
    <mergeCell ref="M116:P116"/>
    <mergeCell ref="R116:U116"/>
    <mergeCell ref="W116:Z116"/>
    <mergeCell ref="AB116:AE116"/>
    <mergeCell ref="AQ91:AR91"/>
    <mergeCell ref="A104:F104"/>
    <mergeCell ref="H104:K104"/>
    <mergeCell ref="M104:P104"/>
    <mergeCell ref="R104:U104"/>
    <mergeCell ref="W104:Z104"/>
    <mergeCell ref="AB104:AE104"/>
    <mergeCell ref="AG104:AJ104"/>
    <mergeCell ref="AL104:AO104"/>
    <mergeCell ref="AQ103:AR103"/>
    <mergeCell ref="AL80:AO80"/>
    <mergeCell ref="AQ79:AR79"/>
    <mergeCell ref="A92:F92"/>
    <mergeCell ref="H92:K92"/>
    <mergeCell ref="M92:P92"/>
    <mergeCell ref="R92:U92"/>
    <mergeCell ref="W92:Z92"/>
    <mergeCell ref="AB92:AE92"/>
    <mergeCell ref="AG92:AJ92"/>
    <mergeCell ref="AL92:AO92"/>
    <mergeCell ref="AG68:AJ68"/>
    <mergeCell ref="AL68:AO68"/>
    <mergeCell ref="AQ67:AR67"/>
    <mergeCell ref="A80:F80"/>
    <mergeCell ref="H80:K80"/>
    <mergeCell ref="M80:P80"/>
    <mergeCell ref="R80:U80"/>
    <mergeCell ref="W80:Z80"/>
    <mergeCell ref="AB80:AE80"/>
    <mergeCell ref="AG80:AJ80"/>
    <mergeCell ref="A68:F68"/>
    <mergeCell ref="H68:K68"/>
    <mergeCell ref="M68:P68"/>
    <mergeCell ref="R68:U68"/>
    <mergeCell ref="W68:Z68"/>
    <mergeCell ref="AB68:AE68"/>
    <mergeCell ref="AQ43:AR43"/>
    <mergeCell ref="A56:F56"/>
    <mergeCell ref="H56:K56"/>
    <mergeCell ref="M56:P56"/>
    <mergeCell ref="R56:U56"/>
    <mergeCell ref="W56:Z56"/>
    <mergeCell ref="AB56:AE56"/>
    <mergeCell ref="AG56:AJ56"/>
    <mergeCell ref="AL56:AO56"/>
    <mergeCell ref="AQ55:AR55"/>
    <mergeCell ref="AL32:AO32"/>
    <mergeCell ref="AQ31:AR31"/>
    <mergeCell ref="A44:F44"/>
    <mergeCell ref="H44:K44"/>
    <mergeCell ref="M44:P44"/>
    <mergeCell ref="R44:U44"/>
    <mergeCell ref="W44:Z44"/>
    <mergeCell ref="AB44:AE44"/>
    <mergeCell ref="AG44:AJ44"/>
    <mergeCell ref="AL44:AO44"/>
    <mergeCell ref="AG20:AJ20"/>
    <mergeCell ref="AL20:AO20"/>
    <mergeCell ref="AQ19:AR19"/>
    <mergeCell ref="A32:F32"/>
    <mergeCell ref="H32:K32"/>
    <mergeCell ref="M32:P32"/>
    <mergeCell ref="R32:U32"/>
    <mergeCell ref="W32:Z32"/>
    <mergeCell ref="AB32:AE32"/>
    <mergeCell ref="AG32:AJ32"/>
    <mergeCell ref="A20:F20"/>
    <mergeCell ref="H20:K20"/>
    <mergeCell ref="M20:P20"/>
    <mergeCell ref="R20:U20"/>
    <mergeCell ref="W20:Z20"/>
    <mergeCell ref="AB20:A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Pre-Season Load</vt:lpstr>
      <vt:lpstr>In-Season 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Baistrocchi</cp:lastModifiedBy>
  <dcterms:modified xsi:type="dcterms:W3CDTF">2026-09-18T11:00:46Z</dcterms:modified>
</cp:coreProperties>
</file>